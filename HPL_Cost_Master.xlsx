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BuÇalismaKitabi"/>
  <mc:AlternateContent xmlns:mc="http://schemas.openxmlformats.org/markup-compatibility/2006">
    <mc:Choice Requires="x15">
      <x15ac:absPath xmlns:x15ac="http://schemas.microsoft.com/office/spreadsheetml/2010/11/ac" url="https://systemair-my.sharepoint.com/personal/d760alki_systemair_se/Documents/Desktop/"/>
    </mc:Choice>
  </mc:AlternateContent>
  <xr:revisionPtr revIDLastSave="14244" documentId="13_ncr:1_{A3BEF739-097C-4A72-9485-E4E96E32E89F}" xr6:coauthVersionLast="47" xr6:coauthVersionMax="47" xr10:uidLastSave="{5EAA3BDB-11D2-4868-9470-919B56C2284C}"/>
  <bookViews>
    <workbookView xWindow="28692" yWindow="-108" windowWidth="29016" windowHeight="15696" tabRatio="755" activeTab="1" xr2:uid="{00000000-000D-0000-FFFF-FFFF00000000}"/>
  </bookViews>
  <sheets>
    <sheet name="Nomenclature" sheetId="12" r:id="rId1"/>
    <sheet name="MIF" sheetId="13" r:id="rId2"/>
    <sheet name="Malzemeler" sheetId="11" r:id="rId3"/>
    <sheet name="7" sheetId="1" r:id="rId4"/>
    <sheet name="11" sheetId="2" r:id="rId5"/>
    <sheet name="15" sheetId="3" r:id="rId6"/>
    <sheet name="22" sheetId="4" r:id="rId7"/>
    <sheet name="32" sheetId="5" r:id="rId8"/>
    <sheet name="42" sheetId="6" r:id="rId9"/>
    <sheet name="53" sheetId="8" r:id="rId10"/>
    <sheet name="64" sheetId="9" r:id="rId11"/>
    <sheet name="90" sheetId="10" r:id="rId12"/>
    <sheet name="Fiyat veya R kodu olmayan ürün" sheetId="14" r:id="rId13"/>
  </sheets>
  <definedNames>
    <definedName name="_xlnm._FilterDatabase" localSheetId="2" hidden="1">Malzemeler!$A$2:$C$276</definedName>
    <definedName name="_xlnm._FilterDatabase" localSheetId="1" hidden="1">MIF!#REF!</definedName>
    <definedName name="Price_Total">MIF!$P$3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87" i="3" l="1"/>
  <c r="S87" i="3" s="1"/>
  <c r="R85" i="3"/>
  <c r="S85" i="3" s="1"/>
  <c r="R86" i="3"/>
  <c r="S86" i="3" s="1"/>
  <c r="R87" i="2"/>
  <c r="S87" i="2" s="1"/>
  <c r="R88" i="2"/>
  <c r="S88" i="2" s="1"/>
  <c r="R89" i="2"/>
  <c r="S89" i="2" s="1"/>
  <c r="R84" i="1"/>
  <c r="S84" i="1" s="1"/>
  <c r="R85" i="1"/>
  <c r="S85" i="1" s="1"/>
  <c r="R86" i="1"/>
  <c r="S86" i="1" s="1"/>
  <c r="R122" i="5"/>
  <c r="S122" i="5" s="1"/>
  <c r="R123" i="5"/>
  <c r="S123" i="5" s="1"/>
  <c r="R124" i="5"/>
  <c r="S124" i="5" s="1"/>
  <c r="R127" i="8"/>
  <c r="S127" i="8" s="1"/>
  <c r="R128" i="8"/>
  <c r="S128" i="8" s="1"/>
  <c r="R129" i="8"/>
  <c r="S129" i="8" s="1"/>
  <c r="R130" i="8"/>
  <c r="S130" i="8" s="1"/>
  <c r="R134" i="10"/>
  <c r="S134" i="10" s="1"/>
  <c r="R135" i="10"/>
  <c r="S135" i="10" s="1"/>
  <c r="R136" i="10"/>
  <c r="S136" i="10" s="1"/>
  <c r="R137" i="10"/>
  <c r="S137" i="10" s="1"/>
  <c r="J137" i="10"/>
  <c r="J136" i="10"/>
  <c r="J135" i="10"/>
  <c r="J134" i="10"/>
  <c r="R127" i="9"/>
  <c r="S127" i="9" s="1"/>
  <c r="R128" i="9"/>
  <c r="S128" i="9" s="1"/>
  <c r="R129" i="9"/>
  <c r="S129" i="9" s="1"/>
  <c r="R130" i="9"/>
  <c r="S130" i="9" s="1"/>
  <c r="J130" i="9"/>
  <c r="J129" i="9"/>
  <c r="J128" i="9"/>
  <c r="J127" i="9"/>
  <c r="J130" i="8"/>
  <c r="J129" i="8"/>
  <c r="J128" i="8"/>
  <c r="J127" i="8"/>
  <c r="R124" i="6"/>
  <c r="S124" i="6" s="1"/>
  <c r="R125" i="6"/>
  <c r="S125" i="6" s="1"/>
  <c r="R126" i="6"/>
  <c r="S126" i="6" s="1"/>
  <c r="R127" i="6"/>
  <c r="S127" i="6" s="1"/>
  <c r="J126" i="6"/>
  <c r="J127" i="6"/>
  <c r="J125" i="6"/>
  <c r="J124" i="6"/>
  <c r="J124" i="5"/>
  <c r="J123" i="5"/>
  <c r="J122" i="5"/>
  <c r="R123" i="4"/>
  <c r="S123" i="4" s="1"/>
  <c r="R124" i="4"/>
  <c r="S124" i="4" s="1"/>
  <c r="R125" i="4"/>
  <c r="S125" i="4" s="1"/>
  <c r="J123" i="4"/>
  <c r="J124" i="4"/>
  <c r="J125" i="4"/>
  <c r="J87" i="3"/>
  <c r="J86" i="3"/>
  <c r="J85" i="3"/>
  <c r="J89" i="2"/>
  <c r="J88" i="2"/>
  <c r="J87" i="2"/>
  <c r="J86" i="1"/>
  <c r="J85" i="1"/>
  <c r="J84" i="1"/>
  <c r="R21" i="3" l="1"/>
  <c r="S21" i="3" s="1"/>
  <c r="J21" i="3"/>
  <c r="R21" i="2"/>
  <c r="S21" i="2" s="1"/>
  <c r="J21" i="2"/>
  <c r="O170" i="9"/>
  <c r="R170" i="9" s="1"/>
  <c r="S170" i="9" s="1"/>
  <c r="J170" i="9"/>
  <c r="O143" i="6"/>
  <c r="R143" i="6" s="1"/>
  <c r="S143" i="6" s="1"/>
  <c r="J143" i="6"/>
  <c r="R29" i="6"/>
  <c r="S29" i="6" s="1"/>
  <c r="J29" i="6"/>
  <c r="R28" i="6"/>
  <c r="S28" i="6" s="1"/>
  <c r="J28" i="6"/>
  <c r="R27" i="6"/>
  <c r="S27" i="6" s="1"/>
  <c r="J27" i="6"/>
  <c r="R27" i="5"/>
  <c r="S27" i="5" s="1"/>
  <c r="J27" i="5"/>
  <c r="R26" i="5"/>
  <c r="S26" i="5" s="1"/>
  <c r="J26" i="5"/>
  <c r="R25" i="5"/>
  <c r="S25" i="5" s="1"/>
  <c r="J25" i="5"/>
  <c r="R30" i="4"/>
  <c r="S30" i="4" s="1"/>
  <c r="J30" i="4"/>
  <c r="R29" i="4"/>
  <c r="S29" i="4" s="1"/>
  <c r="J29" i="4"/>
  <c r="R28" i="4"/>
  <c r="S28" i="4" s="1"/>
  <c r="J28" i="4"/>
  <c r="R59" i="2"/>
  <c r="S59" i="2" s="1"/>
  <c r="R4" i="10"/>
  <c r="S4" i="10" s="1"/>
  <c r="R5" i="10"/>
  <c r="S5" i="10" s="1"/>
  <c r="R6" i="10"/>
  <c r="S6" i="10" s="1"/>
  <c r="R7" i="10"/>
  <c r="S7" i="10" s="1"/>
  <c r="R8" i="10"/>
  <c r="S8" i="10" s="1"/>
  <c r="R9" i="10"/>
  <c r="S9" i="10" s="1"/>
  <c r="R10" i="10"/>
  <c r="S10" i="10" s="1"/>
  <c r="R11" i="10"/>
  <c r="S11" i="10" s="1"/>
  <c r="R12" i="10"/>
  <c r="S12" i="10" s="1"/>
  <c r="R13" i="10"/>
  <c r="S13" i="10" s="1"/>
  <c r="R14" i="10"/>
  <c r="S14" i="10" s="1"/>
  <c r="R15" i="10"/>
  <c r="S15" i="10" s="1"/>
  <c r="R16" i="10"/>
  <c r="S16" i="10" s="1"/>
  <c r="R17" i="10"/>
  <c r="S17" i="10" s="1"/>
  <c r="R18" i="10"/>
  <c r="S18" i="10" s="1"/>
  <c r="R19" i="10"/>
  <c r="S19" i="10" s="1"/>
  <c r="R20" i="10"/>
  <c r="S20" i="10" s="1"/>
  <c r="R21" i="10"/>
  <c r="S21" i="10" s="1"/>
  <c r="R22" i="10"/>
  <c r="S22" i="10" s="1"/>
  <c r="R23" i="10"/>
  <c r="S23" i="10" s="1"/>
  <c r="R24" i="10"/>
  <c r="S24" i="10" s="1"/>
  <c r="R25" i="10"/>
  <c r="S25" i="10" s="1"/>
  <c r="R26" i="10"/>
  <c r="S26" i="10" s="1"/>
  <c r="R27" i="10"/>
  <c r="S27" i="10" s="1"/>
  <c r="R28" i="10"/>
  <c r="S28" i="10" s="1"/>
  <c r="R30" i="10"/>
  <c r="S30" i="10" s="1"/>
  <c r="R31" i="10"/>
  <c r="S31" i="10" s="1"/>
  <c r="R32" i="10"/>
  <c r="S32" i="10" s="1"/>
  <c r="R34" i="10"/>
  <c r="S34" i="10" s="1"/>
  <c r="R35" i="10"/>
  <c r="S35" i="10" s="1"/>
  <c r="R36" i="10"/>
  <c r="S36" i="10" s="1"/>
  <c r="R37" i="10"/>
  <c r="S37" i="10" s="1"/>
  <c r="R38" i="10"/>
  <c r="S38" i="10" s="1"/>
  <c r="R39" i="10"/>
  <c r="S39" i="10" s="1"/>
  <c r="R40" i="10"/>
  <c r="S40" i="10" s="1"/>
  <c r="R41" i="10"/>
  <c r="S41" i="10" s="1"/>
  <c r="R42" i="10"/>
  <c r="S42" i="10" s="1"/>
  <c r="R43" i="10"/>
  <c r="S43" i="10" s="1"/>
  <c r="R44" i="10"/>
  <c r="S44" i="10" s="1"/>
  <c r="R45" i="10"/>
  <c r="S45" i="10" s="1"/>
  <c r="R46" i="10"/>
  <c r="S46" i="10" s="1"/>
  <c r="R47" i="10"/>
  <c r="S47" i="10" s="1"/>
  <c r="R48" i="10"/>
  <c r="S48" i="10" s="1"/>
  <c r="R49" i="10"/>
  <c r="S49" i="10" s="1"/>
  <c r="R50" i="10"/>
  <c r="S50" i="10" s="1"/>
  <c r="R51" i="10"/>
  <c r="S51" i="10" s="1"/>
  <c r="R52" i="10"/>
  <c r="S52" i="10" s="1"/>
  <c r="R53" i="10"/>
  <c r="S53" i="10" s="1"/>
  <c r="R54" i="10"/>
  <c r="S54" i="10" s="1"/>
  <c r="R55" i="10"/>
  <c r="S55" i="10" s="1"/>
  <c r="R56" i="10"/>
  <c r="S56" i="10" s="1"/>
  <c r="R57" i="10"/>
  <c r="S57" i="10" s="1"/>
  <c r="R58" i="10"/>
  <c r="S58" i="10" s="1"/>
  <c r="R59" i="10"/>
  <c r="S59" i="10" s="1"/>
  <c r="R60" i="10"/>
  <c r="S60" i="10" s="1"/>
  <c r="R61" i="10"/>
  <c r="S61" i="10" s="1"/>
  <c r="R62" i="10"/>
  <c r="S62" i="10" s="1"/>
  <c r="R63" i="10"/>
  <c r="S63" i="10" s="1"/>
  <c r="R64" i="10"/>
  <c r="S64" i="10" s="1"/>
  <c r="R65" i="10"/>
  <c r="S65" i="10" s="1"/>
  <c r="R66" i="10"/>
  <c r="S66" i="10" s="1"/>
  <c r="R67" i="10"/>
  <c r="S67" i="10" s="1"/>
  <c r="R68" i="10"/>
  <c r="S68" i="10" s="1"/>
  <c r="R69" i="10"/>
  <c r="S69" i="10" s="1"/>
  <c r="R70" i="10"/>
  <c r="S70" i="10" s="1"/>
  <c r="R71" i="10"/>
  <c r="S71" i="10" s="1"/>
  <c r="R72" i="10"/>
  <c r="S72" i="10" s="1"/>
  <c r="R73" i="10"/>
  <c r="S73" i="10" s="1"/>
  <c r="R74" i="10"/>
  <c r="S74" i="10" s="1"/>
  <c r="R75" i="10"/>
  <c r="S75" i="10" s="1"/>
  <c r="R76" i="10"/>
  <c r="S76" i="10" s="1"/>
  <c r="R77" i="10"/>
  <c r="S77" i="10" s="1"/>
  <c r="R78" i="10"/>
  <c r="S78" i="10" s="1"/>
  <c r="R79" i="10"/>
  <c r="S79" i="10" s="1"/>
  <c r="R80" i="10"/>
  <c r="S80" i="10" s="1"/>
  <c r="R81" i="10"/>
  <c r="S81" i="10" s="1"/>
  <c r="R82" i="10"/>
  <c r="S82" i="10" s="1"/>
  <c r="R83" i="10"/>
  <c r="S83" i="10" s="1"/>
  <c r="R84" i="10"/>
  <c r="S84" i="10" s="1"/>
  <c r="R85" i="10"/>
  <c r="S85" i="10" s="1"/>
  <c r="R86" i="10"/>
  <c r="S86" i="10" s="1"/>
  <c r="R87" i="10"/>
  <c r="S87" i="10" s="1"/>
  <c r="R88" i="10"/>
  <c r="S88" i="10" s="1"/>
  <c r="R89" i="10"/>
  <c r="S89" i="10" s="1"/>
  <c r="R90" i="10"/>
  <c r="S90" i="10" s="1"/>
  <c r="R91" i="10"/>
  <c r="S91" i="10" s="1"/>
  <c r="R92" i="10"/>
  <c r="S92" i="10" s="1"/>
  <c r="R93" i="10"/>
  <c r="S93" i="10" s="1"/>
  <c r="R94" i="10"/>
  <c r="S94" i="10" s="1"/>
  <c r="R95" i="10"/>
  <c r="S95" i="10" s="1"/>
  <c r="R96" i="10"/>
  <c r="S96" i="10" s="1"/>
  <c r="R97" i="10"/>
  <c r="S97" i="10" s="1"/>
  <c r="R98" i="10"/>
  <c r="S98" i="10" s="1"/>
  <c r="R99" i="10"/>
  <c r="S99" i="10" s="1"/>
  <c r="R100" i="10"/>
  <c r="S100" i="10" s="1"/>
  <c r="R101" i="10"/>
  <c r="S101" i="10" s="1"/>
  <c r="R102" i="10"/>
  <c r="S102" i="10" s="1"/>
  <c r="R103" i="10"/>
  <c r="S103" i="10" s="1"/>
  <c r="R104" i="10"/>
  <c r="S104" i="10" s="1"/>
  <c r="R105" i="10"/>
  <c r="S105" i="10" s="1"/>
  <c r="R106" i="10"/>
  <c r="S106" i="10" s="1"/>
  <c r="R107" i="10"/>
  <c r="S107" i="10" s="1"/>
  <c r="R108" i="10"/>
  <c r="S108" i="10" s="1"/>
  <c r="R109" i="10"/>
  <c r="S109" i="10" s="1"/>
  <c r="R110" i="10"/>
  <c r="S110" i="10" s="1"/>
  <c r="R111" i="10"/>
  <c r="S111" i="10" s="1"/>
  <c r="R112" i="10"/>
  <c r="S112" i="10" s="1"/>
  <c r="R113" i="10"/>
  <c r="S113" i="10" s="1"/>
  <c r="R114" i="10"/>
  <c r="S114" i="10" s="1"/>
  <c r="R115" i="10"/>
  <c r="S115" i="10" s="1"/>
  <c r="R116" i="10"/>
  <c r="S116" i="10" s="1"/>
  <c r="R117" i="10"/>
  <c r="S117" i="10" s="1"/>
  <c r="R118" i="10"/>
  <c r="S118" i="10" s="1"/>
  <c r="R119" i="10"/>
  <c r="S119" i="10" s="1"/>
  <c r="R120" i="10"/>
  <c r="S120" i="10" s="1"/>
  <c r="R121" i="10"/>
  <c r="S121" i="10" s="1"/>
  <c r="R122" i="10"/>
  <c r="S122" i="10" s="1"/>
  <c r="R123" i="10"/>
  <c r="S123" i="10" s="1"/>
  <c r="R124" i="10"/>
  <c r="S124" i="10" s="1"/>
  <c r="R125" i="10"/>
  <c r="S125" i="10" s="1"/>
  <c r="R126" i="10"/>
  <c r="S126" i="10" s="1"/>
  <c r="R127" i="10"/>
  <c r="S127" i="10" s="1"/>
  <c r="R128" i="10"/>
  <c r="S128" i="10" s="1"/>
  <c r="R129" i="10"/>
  <c r="S129" i="10" s="1"/>
  <c r="R130" i="10"/>
  <c r="S130" i="10" s="1"/>
  <c r="R131" i="10"/>
  <c r="S131" i="10" s="1"/>
  <c r="R132" i="10"/>
  <c r="S132" i="10" s="1"/>
  <c r="R133" i="10"/>
  <c r="S133" i="10" s="1"/>
  <c r="R138" i="10"/>
  <c r="S138" i="10" s="1"/>
  <c r="R139" i="10"/>
  <c r="S139" i="10" s="1"/>
  <c r="R140" i="10"/>
  <c r="S140" i="10" s="1"/>
  <c r="R141" i="10"/>
  <c r="S141" i="10" s="1"/>
  <c r="R142" i="10"/>
  <c r="S142" i="10" s="1"/>
  <c r="R143" i="10"/>
  <c r="S143" i="10" s="1"/>
  <c r="R144" i="10"/>
  <c r="S144" i="10" s="1"/>
  <c r="R145" i="10"/>
  <c r="S145" i="10" s="1"/>
  <c r="R146" i="10"/>
  <c r="S146" i="10" s="1"/>
  <c r="R147" i="10"/>
  <c r="S147" i="10" s="1"/>
  <c r="R148" i="10"/>
  <c r="S148" i="10" s="1"/>
  <c r="R149" i="10"/>
  <c r="S149" i="10" s="1"/>
  <c r="R150" i="10"/>
  <c r="S150" i="10" s="1"/>
  <c r="R151" i="10"/>
  <c r="S151" i="10" s="1"/>
  <c r="R152" i="10"/>
  <c r="S152" i="10" s="1"/>
  <c r="R153" i="10"/>
  <c r="S153" i="10" s="1"/>
  <c r="R154" i="10"/>
  <c r="S154" i="10" s="1"/>
  <c r="R155" i="10"/>
  <c r="S155" i="10" s="1"/>
  <c r="R156" i="10"/>
  <c r="S156" i="10" s="1"/>
  <c r="R157" i="10"/>
  <c r="S157" i="10" s="1"/>
  <c r="R158" i="10"/>
  <c r="S158" i="10" s="1"/>
  <c r="R159" i="10"/>
  <c r="S159" i="10" s="1"/>
  <c r="R161" i="10"/>
  <c r="S161" i="10" s="1"/>
  <c r="R162" i="10"/>
  <c r="S162" i="10" s="1"/>
  <c r="R163" i="10"/>
  <c r="S163" i="10" s="1"/>
  <c r="R164" i="10"/>
  <c r="S164" i="10" s="1"/>
  <c r="R165" i="10"/>
  <c r="S165" i="10" s="1"/>
  <c r="R166" i="10"/>
  <c r="S166" i="10" s="1"/>
  <c r="R167" i="10"/>
  <c r="S167" i="10" s="1"/>
  <c r="R168" i="10"/>
  <c r="S168" i="10" s="1"/>
  <c r="R169" i="10"/>
  <c r="S169" i="10" s="1"/>
  <c r="R170" i="10"/>
  <c r="S170" i="10" s="1"/>
  <c r="R171" i="10"/>
  <c r="S171" i="10" s="1"/>
  <c r="R172" i="10"/>
  <c r="S172" i="10" s="1"/>
  <c r="R173" i="10"/>
  <c r="S173" i="10" s="1"/>
  <c r="R174" i="10"/>
  <c r="S174" i="10" s="1"/>
  <c r="R175" i="10"/>
  <c r="S175" i="10" s="1"/>
  <c r="R176" i="10"/>
  <c r="S176" i="10" s="1"/>
  <c r="R178" i="10"/>
  <c r="S178" i="10" s="1"/>
  <c r="R179" i="10"/>
  <c r="S179" i="10" s="1"/>
  <c r="R180" i="10"/>
  <c r="S180" i="10" s="1"/>
  <c r="R177" i="10"/>
  <c r="S177" i="10" s="1"/>
  <c r="R3" i="10"/>
  <c r="S3" i="10" s="1"/>
  <c r="R4" i="9"/>
  <c r="S4" i="9" s="1"/>
  <c r="R5" i="9"/>
  <c r="S5" i="9" s="1"/>
  <c r="R6" i="9"/>
  <c r="S6" i="9" s="1"/>
  <c r="R7" i="9"/>
  <c r="S7" i="9" s="1"/>
  <c r="R8" i="9"/>
  <c r="S8" i="9" s="1"/>
  <c r="R9" i="9"/>
  <c r="S9" i="9" s="1"/>
  <c r="R10" i="9"/>
  <c r="S10" i="9" s="1"/>
  <c r="R11" i="9"/>
  <c r="S11" i="9" s="1"/>
  <c r="R12" i="9"/>
  <c r="S12" i="9" s="1"/>
  <c r="R13" i="9"/>
  <c r="S13" i="9" s="1"/>
  <c r="R14" i="9"/>
  <c r="S14" i="9" s="1"/>
  <c r="R15" i="9"/>
  <c r="S15" i="9" s="1"/>
  <c r="R16" i="9"/>
  <c r="S16" i="9" s="1"/>
  <c r="R17" i="9"/>
  <c r="S17" i="9" s="1"/>
  <c r="R18" i="9"/>
  <c r="S18" i="9" s="1"/>
  <c r="R19" i="9"/>
  <c r="S19" i="9" s="1"/>
  <c r="R20" i="9"/>
  <c r="S20" i="9" s="1"/>
  <c r="R21" i="9"/>
  <c r="S21" i="9" s="1"/>
  <c r="R22" i="9"/>
  <c r="S22" i="9" s="1"/>
  <c r="R23" i="9"/>
  <c r="S23" i="9" s="1"/>
  <c r="R24" i="9"/>
  <c r="S24" i="9" s="1"/>
  <c r="R25" i="9"/>
  <c r="S25" i="9" s="1"/>
  <c r="R26" i="9"/>
  <c r="S26" i="9" s="1"/>
  <c r="R27" i="9"/>
  <c r="S27" i="9" s="1"/>
  <c r="R31" i="9"/>
  <c r="S31" i="9" s="1"/>
  <c r="R32" i="9"/>
  <c r="S32" i="9" s="1"/>
  <c r="R33" i="9"/>
  <c r="S33" i="9" s="1"/>
  <c r="R34" i="9"/>
  <c r="S34" i="9" s="1"/>
  <c r="R35" i="9"/>
  <c r="S35" i="9" s="1"/>
  <c r="R36" i="9"/>
  <c r="S36" i="9" s="1"/>
  <c r="R37" i="9"/>
  <c r="S37" i="9" s="1"/>
  <c r="R38" i="9"/>
  <c r="S38" i="9" s="1"/>
  <c r="R39" i="9"/>
  <c r="S39" i="9" s="1"/>
  <c r="R40" i="9"/>
  <c r="S40" i="9" s="1"/>
  <c r="R41" i="9"/>
  <c r="S41" i="9" s="1"/>
  <c r="R42" i="9"/>
  <c r="S42" i="9" s="1"/>
  <c r="R43" i="9"/>
  <c r="S43" i="9" s="1"/>
  <c r="R44" i="9"/>
  <c r="S44" i="9" s="1"/>
  <c r="R45" i="9"/>
  <c r="S45" i="9" s="1"/>
  <c r="R46" i="9"/>
  <c r="S46" i="9" s="1"/>
  <c r="R47" i="9"/>
  <c r="S47" i="9" s="1"/>
  <c r="R48" i="9"/>
  <c r="S48" i="9" s="1"/>
  <c r="R49" i="9"/>
  <c r="S49" i="9" s="1"/>
  <c r="R50" i="9"/>
  <c r="S50" i="9" s="1"/>
  <c r="R51" i="9"/>
  <c r="S51" i="9" s="1"/>
  <c r="R52" i="9"/>
  <c r="S52" i="9" s="1"/>
  <c r="R53" i="9"/>
  <c r="S53" i="9" s="1"/>
  <c r="R54" i="9"/>
  <c r="S54" i="9" s="1"/>
  <c r="R55" i="9"/>
  <c r="S55" i="9" s="1"/>
  <c r="R56" i="9"/>
  <c r="S56" i="9" s="1"/>
  <c r="R57" i="9"/>
  <c r="S57" i="9" s="1"/>
  <c r="R58" i="9"/>
  <c r="S58" i="9" s="1"/>
  <c r="R59" i="9"/>
  <c r="S59" i="9" s="1"/>
  <c r="R60" i="9"/>
  <c r="S60" i="9" s="1"/>
  <c r="R61" i="9"/>
  <c r="S61" i="9" s="1"/>
  <c r="R62" i="9"/>
  <c r="S62" i="9" s="1"/>
  <c r="R63" i="9"/>
  <c r="S63" i="9" s="1"/>
  <c r="R64" i="9"/>
  <c r="S64" i="9" s="1"/>
  <c r="R65" i="9"/>
  <c r="S65" i="9" s="1"/>
  <c r="R66" i="9"/>
  <c r="S66" i="9" s="1"/>
  <c r="R67" i="9"/>
  <c r="S67" i="9" s="1"/>
  <c r="R68" i="9"/>
  <c r="S68" i="9" s="1"/>
  <c r="R69" i="9"/>
  <c r="S69" i="9" s="1"/>
  <c r="R70" i="9"/>
  <c r="S70" i="9" s="1"/>
  <c r="R71" i="9"/>
  <c r="S71" i="9" s="1"/>
  <c r="R72" i="9"/>
  <c r="S72" i="9" s="1"/>
  <c r="R73" i="9"/>
  <c r="S73" i="9" s="1"/>
  <c r="R74" i="9"/>
  <c r="S74" i="9" s="1"/>
  <c r="R75" i="9"/>
  <c r="S75" i="9" s="1"/>
  <c r="R76" i="9"/>
  <c r="S76" i="9" s="1"/>
  <c r="R77" i="9"/>
  <c r="S77" i="9" s="1"/>
  <c r="R78" i="9"/>
  <c r="S78" i="9" s="1"/>
  <c r="R79" i="9"/>
  <c r="S79" i="9" s="1"/>
  <c r="R80" i="9"/>
  <c r="S80" i="9" s="1"/>
  <c r="R81" i="9"/>
  <c r="S81" i="9" s="1"/>
  <c r="R82" i="9"/>
  <c r="S82" i="9" s="1"/>
  <c r="R83" i="9"/>
  <c r="S83" i="9" s="1"/>
  <c r="R84" i="9"/>
  <c r="S84" i="9" s="1"/>
  <c r="R85" i="9"/>
  <c r="S85" i="9" s="1"/>
  <c r="R86" i="9"/>
  <c r="S86" i="9" s="1"/>
  <c r="R87" i="9"/>
  <c r="S87" i="9" s="1"/>
  <c r="R88" i="9"/>
  <c r="S88" i="9" s="1"/>
  <c r="R89" i="9"/>
  <c r="S89" i="9" s="1"/>
  <c r="R90" i="9"/>
  <c r="S90" i="9" s="1"/>
  <c r="R91" i="9"/>
  <c r="S91" i="9" s="1"/>
  <c r="R92" i="9"/>
  <c r="S92" i="9" s="1"/>
  <c r="R93" i="9"/>
  <c r="S93" i="9" s="1"/>
  <c r="R94" i="9"/>
  <c r="S94" i="9" s="1"/>
  <c r="R95" i="9"/>
  <c r="S95" i="9" s="1"/>
  <c r="R96" i="9"/>
  <c r="S96" i="9" s="1"/>
  <c r="R97" i="9"/>
  <c r="S97" i="9" s="1"/>
  <c r="R98" i="9"/>
  <c r="S98" i="9" s="1"/>
  <c r="R99" i="9"/>
  <c r="S99" i="9" s="1"/>
  <c r="R100" i="9"/>
  <c r="S100" i="9" s="1"/>
  <c r="R101" i="9"/>
  <c r="S101" i="9" s="1"/>
  <c r="R102" i="9"/>
  <c r="S102" i="9" s="1"/>
  <c r="R103" i="9"/>
  <c r="S103" i="9" s="1"/>
  <c r="R104" i="9"/>
  <c r="S104" i="9" s="1"/>
  <c r="R105" i="9"/>
  <c r="S105" i="9" s="1"/>
  <c r="R106" i="9"/>
  <c r="S106" i="9" s="1"/>
  <c r="R107" i="9"/>
  <c r="S107" i="9" s="1"/>
  <c r="R108" i="9"/>
  <c r="S108" i="9" s="1"/>
  <c r="R109" i="9"/>
  <c r="S109" i="9" s="1"/>
  <c r="R110" i="9"/>
  <c r="S110" i="9" s="1"/>
  <c r="R111" i="9"/>
  <c r="S111" i="9" s="1"/>
  <c r="R112" i="9"/>
  <c r="S112" i="9" s="1"/>
  <c r="R113" i="9"/>
  <c r="S113" i="9" s="1"/>
  <c r="R114" i="9"/>
  <c r="S114" i="9" s="1"/>
  <c r="R115" i="9"/>
  <c r="S115" i="9" s="1"/>
  <c r="R116" i="9"/>
  <c r="S116" i="9" s="1"/>
  <c r="R117" i="9"/>
  <c r="S117" i="9" s="1"/>
  <c r="R118" i="9"/>
  <c r="S118" i="9" s="1"/>
  <c r="R119" i="9"/>
  <c r="S119" i="9" s="1"/>
  <c r="R120" i="9"/>
  <c r="S120" i="9" s="1"/>
  <c r="R121" i="9"/>
  <c r="S121" i="9" s="1"/>
  <c r="R122" i="9"/>
  <c r="S122" i="9" s="1"/>
  <c r="R123" i="9"/>
  <c r="S123" i="9" s="1"/>
  <c r="R124" i="9"/>
  <c r="S124" i="9" s="1"/>
  <c r="R125" i="9"/>
  <c r="S125" i="9" s="1"/>
  <c r="R126" i="9"/>
  <c r="S126" i="9" s="1"/>
  <c r="R131" i="9"/>
  <c r="S131" i="9" s="1"/>
  <c r="R132" i="9"/>
  <c r="S132" i="9" s="1"/>
  <c r="R133" i="9"/>
  <c r="S133" i="9" s="1"/>
  <c r="R134" i="9"/>
  <c r="S134" i="9" s="1"/>
  <c r="R135" i="9"/>
  <c r="S135" i="9" s="1"/>
  <c r="R136" i="9"/>
  <c r="S136" i="9" s="1"/>
  <c r="R137" i="9"/>
  <c r="S137" i="9" s="1"/>
  <c r="R138" i="9"/>
  <c r="S138" i="9" s="1"/>
  <c r="R139" i="9"/>
  <c r="S139" i="9" s="1"/>
  <c r="R140" i="9"/>
  <c r="S140" i="9" s="1"/>
  <c r="R141" i="9"/>
  <c r="S141" i="9" s="1"/>
  <c r="R142" i="9"/>
  <c r="S142" i="9" s="1"/>
  <c r="R143" i="9"/>
  <c r="S143" i="9" s="1"/>
  <c r="R144" i="9"/>
  <c r="S144" i="9" s="1"/>
  <c r="R145" i="9"/>
  <c r="S145" i="9" s="1"/>
  <c r="R146" i="9"/>
  <c r="S146" i="9" s="1"/>
  <c r="R147" i="9"/>
  <c r="S147" i="9" s="1"/>
  <c r="R148" i="9"/>
  <c r="S148" i="9" s="1"/>
  <c r="R149" i="9"/>
  <c r="S149" i="9" s="1"/>
  <c r="R150" i="9"/>
  <c r="S150" i="9" s="1"/>
  <c r="R151" i="9"/>
  <c r="S151" i="9" s="1"/>
  <c r="R152" i="9"/>
  <c r="S152" i="9" s="1"/>
  <c r="R154" i="9"/>
  <c r="S154" i="9" s="1"/>
  <c r="R155" i="9"/>
  <c r="S155" i="9" s="1"/>
  <c r="R156" i="9"/>
  <c r="S156" i="9" s="1"/>
  <c r="R157" i="9"/>
  <c r="S157" i="9" s="1"/>
  <c r="R158" i="9"/>
  <c r="S158" i="9" s="1"/>
  <c r="R159" i="9"/>
  <c r="S159" i="9" s="1"/>
  <c r="R160" i="9"/>
  <c r="S160" i="9" s="1"/>
  <c r="R161" i="9"/>
  <c r="S161" i="9" s="1"/>
  <c r="R162" i="9"/>
  <c r="S162" i="9" s="1"/>
  <c r="R163" i="9"/>
  <c r="S163" i="9" s="1"/>
  <c r="R164" i="9"/>
  <c r="S164" i="9" s="1"/>
  <c r="R165" i="9"/>
  <c r="S165" i="9" s="1"/>
  <c r="R166" i="9"/>
  <c r="S166" i="9" s="1"/>
  <c r="R167" i="9"/>
  <c r="S167" i="9" s="1"/>
  <c r="R168" i="9"/>
  <c r="S168" i="9" s="1"/>
  <c r="R169" i="9"/>
  <c r="S169" i="9" s="1"/>
  <c r="R171" i="9"/>
  <c r="S171" i="9" s="1"/>
  <c r="R172" i="9"/>
  <c r="S172" i="9" s="1"/>
  <c r="R173" i="9"/>
  <c r="S173" i="9" s="1"/>
  <c r="R3" i="9"/>
  <c r="S3" i="9" s="1"/>
  <c r="R4" i="8"/>
  <c r="S4" i="8" s="1"/>
  <c r="R5" i="8"/>
  <c r="S5" i="8" s="1"/>
  <c r="R6" i="8"/>
  <c r="S6" i="8" s="1"/>
  <c r="R7" i="8"/>
  <c r="S7" i="8" s="1"/>
  <c r="R8" i="8"/>
  <c r="S8" i="8" s="1"/>
  <c r="R9" i="8"/>
  <c r="S9" i="8" s="1"/>
  <c r="R10" i="8"/>
  <c r="S10" i="8" s="1"/>
  <c r="R11" i="8"/>
  <c r="S11" i="8" s="1"/>
  <c r="R12" i="8"/>
  <c r="S12" i="8" s="1"/>
  <c r="R13" i="8"/>
  <c r="S13" i="8" s="1"/>
  <c r="R14" i="8"/>
  <c r="S14" i="8" s="1"/>
  <c r="R15" i="8"/>
  <c r="S15" i="8" s="1"/>
  <c r="R16" i="8"/>
  <c r="S16" i="8" s="1"/>
  <c r="R17" i="8"/>
  <c r="S17" i="8" s="1"/>
  <c r="R18" i="8"/>
  <c r="S18" i="8" s="1"/>
  <c r="R19" i="8"/>
  <c r="S19" i="8" s="1"/>
  <c r="R20" i="8"/>
  <c r="S20" i="8" s="1"/>
  <c r="R21" i="8"/>
  <c r="S21" i="8" s="1"/>
  <c r="R23" i="8"/>
  <c r="S23" i="8" s="1"/>
  <c r="R24" i="8"/>
  <c r="S24" i="8" s="1"/>
  <c r="R25" i="8"/>
  <c r="S25" i="8" s="1"/>
  <c r="R29" i="8"/>
  <c r="S29" i="8" s="1"/>
  <c r="R30" i="8"/>
  <c r="S30" i="8" s="1"/>
  <c r="R31" i="8"/>
  <c r="S31" i="8" s="1"/>
  <c r="R32" i="8"/>
  <c r="S32" i="8" s="1"/>
  <c r="R33" i="8"/>
  <c r="S33" i="8" s="1"/>
  <c r="R34" i="8"/>
  <c r="S34" i="8" s="1"/>
  <c r="R35" i="8"/>
  <c r="S35" i="8" s="1"/>
  <c r="R36" i="8"/>
  <c r="S36" i="8" s="1"/>
  <c r="R37" i="8"/>
  <c r="S37" i="8" s="1"/>
  <c r="R38" i="8"/>
  <c r="S38" i="8" s="1"/>
  <c r="R39" i="8"/>
  <c r="S39" i="8" s="1"/>
  <c r="R40" i="8"/>
  <c r="S40" i="8" s="1"/>
  <c r="R41" i="8"/>
  <c r="S41" i="8" s="1"/>
  <c r="R42" i="8"/>
  <c r="S42" i="8" s="1"/>
  <c r="R43" i="8"/>
  <c r="S43" i="8" s="1"/>
  <c r="R44" i="8"/>
  <c r="S44" i="8" s="1"/>
  <c r="R45" i="8"/>
  <c r="S45" i="8" s="1"/>
  <c r="R46" i="8"/>
  <c r="S46" i="8" s="1"/>
  <c r="R47" i="8"/>
  <c r="S47" i="8" s="1"/>
  <c r="R48" i="8"/>
  <c r="S48" i="8" s="1"/>
  <c r="R49" i="8"/>
  <c r="S49" i="8" s="1"/>
  <c r="R50" i="8"/>
  <c r="S50" i="8" s="1"/>
  <c r="R51" i="8"/>
  <c r="S51" i="8" s="1"/>
  <c r="R52" i="8"/>
  <c r="S52" i="8" s="1"/>
  <c r="R53" i="8"/>
  <c r="S53" i="8" s="1"/>
  <c r="R54" i="8"/>
  <c r="S54" i="8" s="1"/>
  <c r="R55" i="8"/>
  <c r="S55" i="8" s="1"/>
  <c r="R56" i="8"/>
  <c r="S56" i="8" s="1"/>
  <c r="R57" i="8"/>
  <c r="S57" i="8" s="1"/>
  <c r="R58" i="8"/>
  <c r="S58" i="8" s="1"/>
  <c r="R59" i="8"/>
  <c r="S59" i="8" s="1"/>
  <c r="R60" i="8"/>
  <c r="S60" i="8" s="1"/>
  <c r="R61" i="8"/>
  <c r="S61" i="8" s="1"/>
  <c r="R62" i="8"/>
  <c r="S62" i="8" s="1"/>
  <c r="R63" i="8"/>
  <c r="S63" i="8" s="1"/>
  <c r="R64" i="8"/>
  <c r="S64" i="8" s="1"/>
  <c r="R65" i="8"/>
  <c r="S65" i="8" s="1"/>
  <c r="R66" i="8"/>
  <c r="S66" i="8" s="1"/>
  <c r="R67" i="8"/>
  <c r="S67" i="8" s="1"/>
  <c r="R68" i="8"/>
  <c r="S68" i="8" s="1"/>
  <c r="R69" i="8"/>
  <c r="S69" i="8" s="1"/>
  <c r="R70" i="8"/>
  <c r="S70" i="8" s="1"/>
  <c r="R71" i="8"/>
  <c r="S71" i="8" s="1"/>
  <c r="R72" i="8"/>
  <c r="S72" i="8" s="1"/>
  <c r="R73" i="8"/>
  <c r="S73" i="8" s="1"/>
  <c r="R74" i="8"/>
  <c r="S74" i="8" s="1"/>
  <c r="R75" i="8"/>
  <c r="S75" i="8" s="1"/>
  <c r="R76" i="8"/>
  <c r="S76" i="8" s="1"/>
  <c r="R77" i="8"/>
  <c r="S77" i="8" s="1"/>
  <c r="R78" i="8"/>
  <c r="S78" i="8" s="1"/>
  <c r="R79" i="8"/>
  <c r="S79" i="8" s="1"/>
  <c r="R80" i="8"/>
  <c r="S80" i="8" s="1"/>
  <c r="R81" i="8"/>
  <c r="S81" i="8" s="1"/>
  <c r="R82" i="8"/>
  <c r="S82" i="8" s="1"/>
  <c r="R83" i="8"/>
  <c r="S83" i="8" s="1"/>
  <c r="R84" i="8"/>
  <c r="S84" i="8" s="1"/>
  <c r="R85" i="8"/>
  <c r="S85" i="8" s="1"/>
  <c r="R86" i="8"/>
  <c r="S86" i="8" s="1"/>
  <c r="R87" i="8"/>
  <c r="S87" i="8" s="1"/>
  <c r="R88" i="8"/>
  <c r="S88" i="8" s="1"/>
  <c r="R89" i="8"/>
  <c r="S89" i="8" s="1"/>
  <c r="R90" i="8"/>
  <c r="S90" i="8" s="1"/>
  <c r="R91" i="8"/>
  <c r="S91" i="8" s="1"/>
  <c r="R92" i="8"/>
  <c r="S92" i="8" s="1"/>
  <c r="R93" i="8"/>
  <c r="S93" i="8" s="1"/>
  <c r="R94" i="8"/>
  <c r="S94" i="8" s="1"/>
  <c r="R95" i="8"/>
  <c r="S95" i="8" s="1"/>
  <c r="R96" i="8"/>
  <c r="S96" i="8" s="1"/>
  <c r="R97" i="8"/>
  <c r="S97" i="8" s="1"/>
  <c r="R98" i="8"/>
  <c r="S98" i="8" s="1"/>
  <c r="R99" i="8"/>
  <c r="S99" i="8" s="1"/>
  <c r="R100" i="8"/>
  <c r="S100" i="8" s="1"/>
  <c r="R101" i="8"/>
  <c r="S101" i="8" s="1"/>
  <c r="R102" i="8"/>
  <c r="S102" i="8" s="1"/>
  <c r="R103" i="8"/>
  <c r="S103" i="8" s="1"/>
  <c r="R104" i="8"/>
  <c r="S104" i="8" s="1"/>
  <c r="R105" i="8"/>
  <c r="S105" i="8" s="1"/>
  <c r="R106" i="8"/>
  <c r="S106" i="8" s="1"/>
  <c r="R107" i="8"/>
  <c r="S107" i="8" s="1"/>
  <c r="R108" i="8"/>
  <c r="S108" i="8" s="1"/>
  <c r="R109" i="8"/>
  <c r="S109" i="8" s="1"/>
  <c r="R110" i="8"/>
  <c r="S110" i="8" s="1"/>
  <c r="R111" i="8"/>
  <c r="S111" i="8" s="1"/>
  <c r="R112" i="8"/>
  <c r="S112" i="8" s="1"/>
  <c r="R113" i="8"/>
  <c r="S113" i="8" s="1"/>
  <c r="R114" i="8"/>
  <c r="S114" i="8" s="1"/>
  <c r="R115" i="8"/>
  <c r="S115" i="8" s="1"/>
  <c r="R116" i="8"/>
  <c r="S116" i="8" s="1"/>
  <c r="R117" i="8"/>
  <c r="S117" i="8" s="1"/>
  <c r="R118" i="8"/>
  <c r="S118" i="8" s="1"/>
  <c r="R119" i="8"/>
  <c r="S119" i="8" s="1"/>
  <c r="R120" i="8"/>
  <c r="S120" i="8" s="1"/>
  <c r="R121" i="8"/>
  <c r="S121" i="8" s="1"/>
  <c r="R122" i="8"/>
  <c r="S122" i="8" s="1"/>
  <c r="R123" i="8"/>
  <c r="S123" i="8" s="1"/>
  <c r="R124" i="8"/>
  <c r="S124" i="8" s="1"/>
  <c r="R125" i="8"/>
  <c r="S125" i="8" s="1"/>
  <c r="R126" i="8"/>
  <c r="S126" i="8" s="1"/>
  <c r="R131" i="8"/>
  <c r="S131" i="8" s="1"/>
  <c r="R132" i="8"/>
  <c r="S132" i="8" s="1"/>
  <c r="R133" i="8"/>
  <c r="S133" i="8" s="1"/>
  <c r="R134" i="8"/>
  <c r="S134" i="8" s="1"/>
  <c r="R135" i="8"/>
  <c r="S135" i="8" s="1"/>
  <c r="R136" i="8"/>
  <c r="S136" i="8" s="1"/>
  <c r="R137" i="8"/>
  <c r="S137" i="8" s="1"/>
  <c r="R138" i="8"/>
  <c r="S138" i="8" s="1"/>
  <c r="R139" i="8"/>
  <c r="S139" i="8" s="1"/>
  <c r="R140" i="8"/>
  <c r="S140" i="8" s="1"/>
  <c r="R141" i="8"/>
  <c r="S141" i="8" s="1"/>
  <c r="R142" i="8"/>
  <c r="S142" i="8" s="1"/>
  <c r="R143" i="8"/>
  <c r="S143" i="8" s="1"/>
  <c r="R144" i="8"/>
  <c r="S144" i="8" s="1"/>
  <c r="R145" i="8"/>
  <c r="S145" i="8" s="1"/>
  <c r="R147" i="8"/>
  <c r="S147" i="8" s="1"/>
  <c r="R148" i="8"/>
  <c r="S148" i="8" s="1"/>
  <c r="R149" i="8"/>
  <c r="S149" i="8" s="1"/>
  <c r="R150" i="8"/>
  <c r="S150" i="8" s="1"/>
  <c r="R151" i="8"/>
  <c r="S151" i="8" s="1"/>
  <c r="R152" i="8"/>
  <c r="S152" i="8" s="1"/>
  <c r="R153" i="8"/>
  <c r="S153" i="8" s="1"/>
  <c r="R154" i="8"/>
  <c r="S154" i="8" s="1"/>
  <c r="R155" i="8"/>
  <c r="S155" i="8" s="1"/>
  <c r="R156" i="8"/>
  <c r="S156" i="8" s="1"/>
  <c r="R157" i="8"/>
  <c r="S157" i="8" s="1"/>
  <c r="R158" i="8"/>
  <c r="S158" i="8" s="1"/>
  <c r="R159" i="8"/>
  <c r="S159" i="8" s="1"/>
  <c r="R160" i="8"/>
  <c r="S160" i="8" s="1"/>
  <c r="R161" i="8"/>
  <c r="S161" i="8" s="1"/>
  <c r="R162" i="8"/>
  <c r="S162" i="8" s="1"/>
  <c r="R164" i="8"/>
  <c r="S164" i="8" s="1"/>
  <c r="R165" i="8"/>
  <c r="S165" i="8" s="1"/>
  <c r="R166" i="8"/>
  <c r="S166" i="8" s="1"/>
  <c r="R3" i="8"/>
  <c r="S3" i="8" s="1"/>
  <c r="R4" i="6"/>
  <c r="S4" i="6" s="1"/>
  <c r="R5" i="6"/>
  <c r="S5" i="6" s="1"/>
  <c r="R6" i="6"/>
  <c r="S6" i="6" s="1"/>
  <c r="R7" i="6"/>
  <c r="S7" i="6" s="1"/>
  <c r="R8" i="6"/>
  <c r="S8" i="6" s="1"/>
  <c r="R9" i="6"/>
  <c r="S9" i="6" s="1"/>
  <c r="R10" i="6"/>
  <c r="S10" i="6" s="1"/>
  <c r="R11" i="6"/>
  <c r="S11" i="6" s="1"/>
  <c r="R12" i="6"/>
  <c r="S12" i="6" s="1"/>
  <c r="R13" i="6"/>
  <c r="S13" i="6" s="1"/>
  <c r="R14" i="6"/>
  <c r="S14" i="6" s="1"/>
  <c r="R15" i="6"/>
  <c r="S15" i="6" s="1"/>
  <c r="R16" i="6"/>
  <c r="S16" i="6" s="1"/>
  <c r="R17" i="6"/>
  <c r="S17" i="6" s="1"/>
  <c r="R18" i="6"/>
  <c r="S18" i="6" s="1"/>
  <c r="R19" i="6"/>
  <c r="S19" i="6" s="1"/>
  <c r="R20" i="6"/>
  <c r="S20" i="6" s="1"/>
  <c r="R21" i="6"/>
  <c r="S21" i="6" s="1"/>
  <c r="R22" i="6"/>
  <c r="S22" i="6" s="1"/>
  <c r="R24" i="6"/>
  <c r="S24" i="6" s="1"/>
  <c r="R25" i="6"/>
  <c r="S25" i="6" s="1"/>
  <c r="R26" i="6"/>
  <c r="S26" i="6" s="1"/>
  <c r="R30" i="6"/>
  <c r="S30" i="6" s="1"/>
  <c r="R31" i="6"/>
  <c r="S31" i="6" s="1"/>
  <c r="R32" i="6"/>
  <c r="S32" i="6" s="1"/>
  <c r="R33" i="6"/>
  <c r="S33" i="6" s="1"/>
  <c r="R34" i="6"/>
  <c r="S34" i="6" s="1"/>
  <c r="R35" i="6"/>
  <c r="S35" i="6" s="1"/>
  <c r="R36" i="6"/>
  <c r="S36" i="6" s="1"/>
  <c r="R37" i="6"/>
  <c r="S37" i="6" s="1"/>
  <c r="R38" i="6"/>
  <c r="S38" i="6" s="1"/>
  <c r="R39" i="6"/>
  <c r="S39" i="6" s="1"/>
  <c r="R40" i="6"/>
  <c r="S40" i="6" s="1"/>
  <c r="R41" i="6"/>
  <c r="S41" i="6" s="1"/>
  <c r="R42" i="6"/>
  <c r="S42" i="6" s="1"/>
  <c r="R43" i="6"/>
  <c r="S43" i="6" s="1"/>
  <c r="R44" i="6"/>
  <c r="S44" i="6" s="1"/>
  <c r="R45" i="6"/>
  <c r="S45" i="6" s="1"/>
  <c r="R46" i="6"/>
  <c r="S46" i="6" s="1"/>
  <c r="R47" i="6"/>
  <c r="S47" i="6" s="1"/>
  <c r="R48" i="6"/>
  <c r="S48" i="6" s="1"/>
  <c r="R49" i="6"/>
  <c r="S49" i="6" s="1"/>
  <c r="R50" i="6"/>
  <c r="S50" i="6" s="1"/>
  <c r="R51" i="6"/>
  <c r="S51" i="6" s="1"/>
  <c r="R52" i="6"/>
  <c r="S52" i="6" s="1"/>
  <c r="R53" i="6"/>
  <c r="S53" i="6" s="1"/>
  <c r="R54" i="6"/>
  <c r="S54" i="6" s="1"/>
  <c r="R55" i="6"/>
  <c r="S55" i="6" s="1"/>
  <c r="R56" i="6"/>
  <c r="S56" i="6" s="1"/>
  <c r="R57" i="6"/>
  <c r="S57" i="6" s="1"/>
  <c r="R58" i="6"/>
  <c r="S58" i="6" s="1"/>
  <c r="R59" i="6"/>
  <c r="S59" i="6" s="1"/>
  <c r="R60" i="6"/>
  <c r="S60" i="6" s="1"/>
  <c r="R61" i="6"/>
  <c r="S61" i="6" s="1"/>
  <c r="R62" i="6"/>
  <c r="S62" i="6" s="1"/>
  <c r="R63" i="6"/>
  <c r="S63" i="6" s="1"/>
  <c r="R64" i="6"/>
  <c r="S64" i="6" s="1"/>
  <c r="R65" i="6"/>
  <c r="S65" i="6" s="1"/>
  <c r="R66" i="6"/>
  <c r="S66" i="6" s="1"/>
  <c r="R67" i="6"/>
  <c r="S67" i="6" s="1"/>
  <c r="R68" i="6"/>
  <c r="S68" i="6" s="1"/>
  <c r="R69" i="6"/>
  <c r="S69" i="6" s="1"/>
  <c r="R70" i="6"/>
  <c r="S70" i="6" s="1"/>
  <c r="R71" i="6"/>
  <c r="S71" i="6" s="1"/>
  <c r="R72" i="6"/>
  <c r="S72" i="6" s="1"/>
  <c r="R73" i="6"/>
  <c r="S73" i="6" s="1"/>
  <c r="R74" i="6"/>
  <c r="S74" i="6" s="1"/>
  <c r="R75" i="6"/>
  <c r="S75" i="6" s="1"/>
  <c r="R76" i="6"/>
  <c r="S76" i="6" s="1"/>
  <c r="R77" i="6"/>
  <c r="S77" i="6" s="1"/>
  <c r="R78" i="6"/>
  <c r="S78" i="6" s="1"/>
  <c r="R79" i="6"/>
  <c r="S79" i="6" s="1"/>
  <c r="R80" i="6"/>
  <c r="S80" i="6" s="1"/>
  <c r="R81" i="6"/>
  <c r="S81" i="6" s="1"/>
  <c r="R82" i="6"/>
  <c r="S82" i="6" s="1"/>
  <c r="R83" i="6"/>
  <c r="S83" i="6" s="1"/>
  <c r="R84" i="6"/>
  <c r="S84" i="6" s="1"/>
  <c r="R85" i="6"/>
  <c r="S85" i="6" s="1"/>
  <c r="R86" i="6"/>
  <c r="S86" i="6" s="1"/>
  <c r="R87" i="6"/>
  <c r="S87" i="6" s="1"/>
  <c r="R88" i="6"/>
  <c r="S88" i="6" s="1"/>
  <c r="R89" i="6"/>
  <c r="S89" i="6" s="1"/>
  <c r="R90" i="6"/>
  <c r="S90" i="6" s="1"/>
  <c r="R91" i="6"/>
  <c r="S91" i="6" s="1"/>
  <c r="R92" i="6"/>
  <c r="S92" i="6" s="1"/>
  <c r="R93" i="6"/>
  <c r="S93" i="6" s="1"/>
  <c r="R94" i="6"/>
  <c r="S94" i="6" s="1"/>
  <c r="R95" i="6"/>
  <c r="S95" i="6" s="1"/>
  <c r="R96" i="6"/>
  <c r="S96" i="6" s="1"/>
  <c r="R97" i="6"/>
  <c r="S97" i="6" s="1"/>
  <c r="R98" i="6"/>
  <c r="S98" i="6" s="1"/>
  <c r="R99" i="6"/>
  <c r="S99" i="6" s="1"/>
  <c r="R100" i="6"/>
  <c r="S100" i="6" s="1"/>
  <c r="R101" i="6"/>
  <c r="S101" i="6" s="1"/>
  <c r="R102" i="6"/>
  <c r="S102" i="6" s="1"/>
  <c r="R103" i="6"/>
  <c r="S103" i="6" s="1"/>
  <c r="R104" i="6"/>
  <c r="S104" i="6" s="1"/>
  <c r="R105" i="6"/>
  <c r="S105" i="6" s="1"/>
  <c r="R106" i="6"/>
  <c r="S106" i="6" s="1"/>
  <c r="R107" i="6"/>
  <c r="S107" i="6" s="1"/>
  <c r="R108" i="6"/>
  <c r="S108" i="6" s="1"/>
  <c r="R109" i="6"/>
  <c r="S109" i="6" s="1"/>
  <c r="R110" i="6"/>
  <c r="S110" i="6" s="1"/>
  <c r="R111" i="6"/>
  <c r="S111" i="6" s="1"/>
  <c r="R112" i="6"/>
  <c r="S112" i="6" s="1"/>
  <c r="R113" i="6"/>
  <c r="S113" i="6" s="1"/>
  <c r="R114" i="6"/>
  <c r="S114" i="6" s="1"/>
  <c r="R115" i="6"/>
  <c r="S115" i="6" s="1"/>
  <c r="R116" i="6"/>
  <c r="S116" i="6" s="1"/>
  <c r="R117" i="6"/>
  <c r="S117" i="6" s="1"/>
  <c r="R118" i="6"/>
  <c r="S118" i="6" s="1"/>
  <c r="R119" i="6"/>
  <c r="S119" i="6" s="1"/>
  <c r="R120" i="6"/>
  <c r="S120" i="6" s="1"/>
  <c r="R121" i="6"/>
  <c r="S121" i="6" s="1"/>
  <c r="R122" i="6"/>
  <c r="S122" i="6" s="1"/>
  <c r="R123" i="6"/>
  <c r="S123" i="6" s="1"/>
  <c r="R128" i="6"/>
  <c r="S128" i="6" s="1"/>
  <c r="R129" i="6"/>
  <c r="S129" i="6" s="1"/>
  <c r="R130" i="6"/>
  <c r="S130" i="6" s="1"/>
  <c r="R131" i="6"/>
  <c r="S131" i="6" s="1"/>
  <c r="R132" i="6"/>
  <c r="S132" i="6" s="1"/>
  <c r="R133" i="6"/>
  <c r="S133" i="6" s="1"/>
  <c r="R134" i="6"/>
  <c r="S134" i="6" s="1"/>
  <c r="R135" i="6"/>
  <c r="S135" i="6" s="1"/>
  <c r="R136" i="6"/>
  <c r="S136" i="6" s="1"/>
  <c r="R137" i="6"/>
  <c r="S137" i="6" s="1"/>
  <c r="R138" i="6"/>
  <c r="S138" i="6" s="1"/>
  <c r="R139" i="6"/>
  <c r="S139" i="6" s="1"/>
  <c r="R140" i="6"/>
  <c r="S140" i="6" s="1"/>
  <c r="R141" i="6"/>
  <c r="S141" i="6" s="1"/>
  <c r="R142" i="6"/>
  <c r="S142" i="6" s="1"/>
  <c r="R144" i="6"/>
  <c r="S144" i="6" s="1"/>
  <c r="R145" i="6"/>
  <c r="S145" i="6" s="1"/>
  <c r="R146" i="6"/>
  <c r="S146" i="6" s="1"/>
  <c r="R147" i="6"/>
  <c r="S147" i="6" s="1"/>
  <c r="R148" i="6"/>
  <c r="S148" i="6" s="1"/>
  <c r="R149" i="6"/>
  <c r="S149" i="6" s="1"/>
  <c r="R150" i="6"/>
  <c r="S150" i="6" s="1"/>
  <c r="R151" i="6"/>
  <c r="S151" i="6" s="1"/>
  <c r="R152" i="6"/>
  <c r="S152" i="6" s="1"/>
  <c r="R153" i="6"/>
  <c r="S153" i="6" s="1"/>
  <c r="R154" i="6"/>
  <c r="S154" i="6" s="1"/>
  <c r="R155" i="6"/>
  <c r="S155" i="6" s="1"/>
  <c r="R156" i="6"/>
  <c r="S156" i="6" s="1"/>
  <c r="R157" i="6"/>
  <c r="S157" i="6" s="1"/>
  <c r="R158" i="6"/>
  <c r="S158" i="6" s="1"/>
  <c r="R159" i="6"/>
  <c r="S159" i="6" s="1"/>
  <c r="R161" i="6"/>
  <c r="S161" i="6" s="1"/>
  <c r="R162" i="6"/>
  <c r="S162" i="6" s="1"/>
  <c r="R163" i="6"/>
  <c r="S163" i="6" s="1"/>
  <c r="R160" i="6"/>
  <c r="S160" i="6" s="1"/>
  <c r="R3" i="6"/>
  <c r="S3" i="6" s="1"/>
  <c r="R4" i="5"/>
  <c r="S4" i="5" s="1"/>
  <c r="R5" i="5"/>
  <c r="S5" i="5" s="1"/>
  <c r="R6" i="5"/>
  <c r="S6" i="5" s="1"/>
  <c r="R7" i="5"/>
  <c r="S7" i="5" s="1"/>
  <c r="R8" i="5"/>
  <c r="S8" i="5" s="1"/>
  <c r="R9" i="5"/>
  <c r="S9" i="5" s="1"/>
  <c r="R10" i="5"/>
  <c r="S10" i="5" s="1"/>
  <c r="R11" i="5"/>
  <c r="S11" i="5" s="1"/>
  <c r="R12" i="5"/>
  <c r="S12" i="5" s="1"/>
  <c r="R13" i="5"/>
  <c r="S13" i="5" s="1"/>
  <c r="R14" i="5"/>
  <c r="S14" i="5" s="1"/>
  <c r="R15" i="5"/>
  <c r="S15" i="5" s="1"/>
  <c r="R16" i="5"/>
  <c r="S16" i="5" s="1"/>
  <c r="R17" i="5"/>
  <c r="S17" i="5" s="1"/>
  <c r="R18" i="5"/>
  <c r="S18" i="5" s="1"/>
  <c r="R19" i="5"/>
  <c r="S19" i="5" s="1"/>
  <c r="R20" i="5"/>
  <c r="S20" i="5" s="1"/>
  <c r="R22" i="5"/>
  <c r="S22" i="5" s="1"/>
  <c r="R23" i="5"/>
  <c r="S23" i="5" s="1"/>
  <c r="R24" i="5"/>
  <c r="S24" i="5" s="1"/>
  <c r="R28" i="5"/>
  <c r="S28" i="5" s="1"/>
  <c r="R29" i="5"/>
  <c r="S29" i="5" s="1"/>
  <c r="R30" i="5"/>
  <c r="S30" i="5" s="1"/>
  <c r="R31" i="5"/>
  <c r="S31" i="5" s="1"/>
  <c r="R32" i="5"/>
  <c r="S32" i="5" s="1"/>
  <c r="R33" i="5"/>
  <c r="S33" i="5" s="1"/>
  <c r="R34" i="5"/>
  <c r="S34" i="5" s="1"/>
  <c r="R35" i="5"/>
  <c r="S35" i="5" s="1"/>
  <c r="R36" i="5"/>
  <c r="S36" i="5" s="1"/>
  <c r="R37" i="5"/>
  <c r="S37" i="5" s="1"/>
  <c r="R38" i="5"/>
  <c r="S38" i="5" s="1"/>
  <c r="R39" i="5"/>
  <c r="S39" i="5" s="1"/>
  <c r="R40" i="5"/>
  <c r="S40" i="5" s="1"/>
  <c r="R41" i="5"/>
  <c r="S41" i="5" s="1"/>
  <c r="R42" i="5"/>
  <c r="S42" i="5" s="1"/>
  <c r="R43" i="5"/>
  <c r="S43" i="5" s="1"/>
  <c r="R44" i="5"/>
  <c r="S44" i="5" s="1"/>
  <c r="R45" i="5"/>
  <c r="S45" i="5" s="1"/>
  <c r="R46" i="5"/>
  <c r="S46" i="5" s="1"/>
  <c r="R47" i="5"/>
  <c r="S47" i="5" s="1"/>
  <c r="R48" i="5"/>
  <c r="S48" i="5" s="1"/>
  <c r="R49" i="5"/>
  <c r="S49" i="5" s="1"/>
  <c r="R50" i="5"/>
  <c r="S50" i="5" s="1"/>
  <c r="R51" i="5"/>
  <c r="S51" i="5" s="1"/>
  <c r="R52" i="5"/>
  <c r="S52" i="5" s="1"/>
  <c r="R53" i="5"/>
  <c r="S53" i="5" s="1"/>
  <c r="R54" i="5"/>
  <c r="S54" i="5" s="1"/>
  <c r="R55" i="5"/>
  <c r="S55" i="5" s="1"/>
  <c r="R56" i="5"/>
  <c r="S56" i="5" s="1"/>
  <c r="R57" i="5"/>
  <c r="S57" i="5" s="1"/>
  <c r="R58" i="5"/>
  <c r="S58" i="5" s="1"/>
  <c r="R59" i="5"/>
  <c r="S59" i="5" s="1"/>
  <c r="R60" i="5"/>
  <c r="S60" i="5" s="1"/>
  <c r="R61" i="5"/>
  <c r="S61" i="5" s="1"/>
  <c r="R62" i="5"/>
  <c r="S62" i="5" s="1"/>
  <c r="R63" i="5"/>
  <c r="S63" i="5" s="1"/>
  <c r="R64" i="5"/>
  <c r="S64" i="5" s="1"/>
  <c r="R65" i="5"/>
  <c r="S65" i="5" s="1"/>
  <c r="R66" i="5"/>
  <c r="S66" i="5" s="1"/>
  <c r="R67" i="5"/>
  <c r="S67" i="5" s="1"/>
  <c r="R68" i="5"/>
  <c r="S68" i="5" s="1"/>
  <c r="R69" i="5"/>
  <c r="S69" i="5" s="1"/>
  <c r="R70" i="5"/>
  <c r="S70" i="5" s="1"/>
  <c r="R71" i="5"/>
  <c r="S71" i="5" s="1"/>
  <c r="R72" i="5"/>
  <c r="S72" i="5" s="1"/>
  <c r="R73" i="5"/>
  <c r="S73" i="5" s="1"/>
  <c r="R74" i="5"/>
  <c r="S74" i="5" s="1"/>
  <c r="R75" i="5"/>
  <c r="S75" i="5" s="1"/>
  <c r="R76" i="5"/>
  <c r="S76" i="5" s="1"/>
  <c r="R77" i="5"/>
  <c r="S77" i="5" s="1"/>
  <c r="R78" i="5"/>
  <c r="S78" i="5" s="1"/>
  <c r="R79" i="5"/>
  <c r="S79" i="5" s="1"/>
  <c r="R80" i="5"/>
  <c r="S80" i="5" s="1"/>
  <c r="R81" i="5"/>
  <c r="S81" i="5" s="1"/>
  <c r="R82" i="5"/>
  <c r="S82" i="5" s="1"/>
  <c r="R83" i="5"/>
  <c r="S83" i="5" s="1"/>
  <c r="R84" i="5"/>
  <c r="S84" i="5" s="1"/>
  <c r="R85" i="5"/>
  <c r="S85" i="5" s="1"/>
  <c r="R86" i="5"/>
  <c r="S86" i="5" s="1"/>
  <c r="R87" i="5"/>
  <c r="S87" i="5" s="1"/>
  <c r="R88" i="5"/>
  <c r="S88" i="5" s="1"/>
  <c r="R89" i="5"/>
  <c r="S89" i="5" s="1"/>
  <c r="R90" i="5"/>
  <c r="S90" i="5" s="1"/>
  <c r="R91" i="5"/>
  <c r="S91" i="5" s="1"/>
  <c r="R92" i="5"/>
  <c r="S92" i="5" s="1"/>
  <c r="R93" i="5"/>
  <c r="S93" i="5" s="1"/>
  <c r="R94" i="5"/>
  <c r="S94" i="5" s="1"/>
  <c r="R95" i="5"/>
  <c r="S95" i="5" s="1"/>
  <c r="R96" i="5"/>
  <c r="S96" i="5" s="1"/>
  <c r="R97" i="5"/>
  <c r="S97" i="5" s="1"/>
  <c r="R98" i="5"/>
  <c r="S98" i="5" s="1"/>
  <c r="R99" i="5"/>
  <c r="S99" i="5" s="1"/>
  <c r="R100" i="5"/>
  <c r="S100" i="5" s="1"/>
  <c r="R101" i="5"/>
  <c r="S101" i="5" s="1"/>
  <c r="R102" i="5"/>
  <c r="S102" i="5" s="1"/>
  <c r="R103" i="5"/>
  <c r="S103" i="5" s="1"/>
  <c r="R104" i="5"/>
  <c r="S104" i="5" s="1"/>
  <c r="R105" i="5"/>
  <c r="S105" i="5" s="1"/>
  <c r="R106" i="5"/>
  <c r="S106" i="5" s="1"/>
  <c r="R107" i="5"/>
  <c r="S107" i="5" s="1"/>
  <c r="R108" i="5"/>
  <c r="S108" i="5" s="1"/>
  <c r="R109" i="5"/>
  <c r="S109" i="5" s="1"/>
  <c r="R110" i="5"/>
  <c r="S110" i="5" s="1"/>
  <c r="R111" i="5"/>
  <c r="S111" i="5" s="1"/>
  <c r="R112" i="5"/>
  <c r="S112" i="5" s="1"/>
  <c r="R113" i="5"/>
  <c r="S113" i="5" s="1"/>
  <c r="R114" i="5"/>
  <c r="S114" i="5" s="1"/>
  <c r="R115" i="5"/>
  <c r="S115" i="5" s="1"/>
  <c r="R116" i="5"/>
  <c r="S116" i="5" s="1"/>
  <c r="R117" i="5"/>
  <c r="S117" i="5" s="1"/>
  <c r="R118" i="5"/>
  <c r="S118" i="5" s="1"/>
  <c r="R119" i="5"/>
  <c r="S119" i="5" s="1"/>
  <c r="R120" i="5"/>
  <c r="S120" i="5" s="1"/>
  <c r="R121" i="5"/>
  <c r="S121" i="5" s="1"/>
  <c r="R125" i="5"/>
  <c r="S125" i="5" s="1"/>
  <c r="R126" i="5"/>
  <c r="S126" i="5" s="1"/>
  <c r="R127" i="5"/>
  <c r="S127" i="5" s="1"/>
  <c r="R128" i="5"/>
  <c r="S128" i="5" s="1"/>
  <c r="R129" i="5"/>
  <c r="S129" i="5" s="1"/>
  <c r="R130" i="5"/>
  <c r="S130" i="5" s="1"/>
  <c r="R131" i="5"/>
  <c r="S131" i="5" s="1"/>
  <c r="R132" i="5"/>
  <c r="S132" i="5" s="1"/>
  <c r="R133" i="5"/>
  <c r="S133" i="5" s="1"/>
  <c r="R134" i="5"/>
  <c r="S134" i="5" s="1"/>
  <c r="R135" i="5"/>
  <c r="S135" i="5" s="1"/>
  <c r="R136" i="5"/>
  <c r="S136" i="5" s="1"/>
  <c r="R137" i="5"/>
  <c r="S137" i="5" s="1"/>
  <c r="R138" i="5"/>
  <c r="S138" i="5" s="1"/>
  <c r="R139" i="5"/>
  <c r="S139" i="5" s="1"/>
  <c r="R140" i="5"/>
  <c r="S140" i="5" s="1"/>
  <c r="R141" i="5"/>
  <c r="S141" i="5" s="1"/>
  <c r="R142" i="5"/>
  <c r="S142" i="5" s="1"/>
  <c r="R143" i="5"/>
  <c r="S143" i="5" s="1"/>
  <c r="R144" i="5"/>
  <c r="S144" i="5" s="1"/>
  <c r="R145" i="5"/>
  <c r="S145" i="5" s="1"/>
  <c r="R146" i="5"/>
  <c r="S146" i="5" s="1"/>
  <c r="R148" i="5"/>
  <c r="S148" i="5" s="1"/>
  <c r="R149" i="5"/>
  <c r="S149" i="5" s="1"/>
  <c r="R150" i="5"/>
  <c r="S150" i="5" s="1"/>
  <c r="R151" i="5"/>
  <c r="S151" i="5" s="1"/>
  <c r="R152" i="5"/>
  <c r="S152" i="5" s="1"/>
  <c r="R153" i="5"/>
  <c r="S153" i="5" s="1"/>
  <c r="R154" i="5"/>
  <c r="S154" i="5" s="1"/>
  <c r="R155" i="5"/>
  <c r="S155" i="5" s="1"/>
  <c r="R156" i="5"/>
  <c r="S156" i="5" s="1"/>
  <c r="R157" i="5"/>
  <c r="S157" i="5" s="1"/>
  <c r="R158" i="5"/>
  <c r="S158" i="5" s="1"/>
  <c r="R159" i="5"/>
  <c r="S159" i="5" s="1"/>
  <c r="R160" i="5"/>
  <c r="S160" i="5" s="1"/>
  <c r="R161" i="5"/>
  <c r="S161" i="5" s="1"/>
  <c r="R162" i="5"/>
  <c r="S162" i="5" s="1"/>
  <c r="R147" i="5"/>
  <c r="S147" i="5" s="1"/>
  <c r="R163" i="5"/>
  <c r="S163" i="5" s="1"/>
  <c r="R165" i="5"/>
  <c r="S165" i="5" s="1"/>
  <c r="R166" i="5"/>
  <c r="S166" i="5" s="1"/>
  <c r="R167" i="5"/>
  <c r="S167" i="5" s="1"/>
  <c r="R164" i="5"/>
  <c r="S164" i="5" s="1"/>
  <c r="R168" i="5"/>
  <c r="S168" i="5" s="1"/>
  <c r="R3" i="5"/>
  <c r="S3" i="5" s="1"/>
  <c r="R4" i="4"/>
  <c r="S4" i="4" s="1"/>
  <c r="R5" i="4"/>
  <c r="S5" i="4" s="1"/>
  <c r="R6" i="4"/>
  <c r="S6" i="4" s="1"/>
  <c r="R7" i="4"/>
  <c r="S7" i="4" s="1"/>
  <c r="R8" i="4"/>
  <c r="S8" i="4" s="1"/>
  <c r="R9" i="4"/>
  <c r="S9" i="4" s="1"/>
  <c r="R10" i="4"/>
  <c r="S10" i="4" s="1"/>
  <c r="R11" i="4"/>
  <c r="S11" i="4" s="1"/>
  <c r="R12" i="4"/>
  <c r="S12" i="4" s="1"/>
  <c r="R13" i="4"/>
  <c r="S13" i="4" s="1"/>
  <c r="R14" i="4"/>
  <c r="S14" i="4" s="1"/>
  <c r="R15" i="4"/>
  <c r="S15" i="4" s="1"/>
  <c r="R16" i="4"/>
  <c r="S16" i="4" s="1"/>
  <c r="R17" i="4"/>
  <c r="S17" i="4" s="1"/>
  <c r="R18" i="4"/>
  <c r="S18" i="4" s="1"/>
  <c r="R19" i="4"/>
  <c r="S19" i="4" s="1"/>
  <c r="R20" i="4"/>
  <c r="S20" i="4" s="1"/>
  <c r="R21" i="4"/>
  <c r="S21" i="4" s="1"/>
  <c r="R22" i="4"/>
  <c r="S22" i="4" s="1"/>
  <c r="R23" i="4"/>
  <c r="S23" i="4" s="1"/>
  <c r="R25" i="4"/>
  <c r="S25" i="4" s="1"/>
  <c r="R26" i="4"/>
  <c r="S26" i="4" s="1"/>
  <c r="R27" i="4"/>
  <c r="S27" i="4" s="1"/>
  <c r="R31" i="4"/>
  <c r="S31" i="4" s="1"/>
  <c r="R32" i="4"/>
  <c r="S32" i="4" s="1"/>
  <c r="R33" i="4"/>
  <c r="S33" i="4" s="1"/>
  <c r="R34" i="4"/>
  <c r="S34" i="4" s="1"/>
  <c r="R35" i="4"/>
  <c r="S35" i="4" s="1"/>
  <c r="R36" i="4"/>
  <c r="S36" i="4" s="1"/>
  <c r="R37" i="4"/>
  <c r="S37" i="4" s="1"/>
  <c r="R38" i="4"/>
  <c r="S38" i="4" s="1"/>
  <c r="R39" i="4"/>
  <c r="S39" i="4" s="1"/>
  <c r="R40" i="4"/>
  <c r="S40" i="4" s="1"/>
  <c r="R41" i="4"/>
  <c r="S41" i="4" s="1"/>
  <c r="R42" i="4"/>
  <c r="S42" i="4" s="1"/>
  <c r="R43" i="4"/>
  <c r="S43" i="4" s="1"/>
  <c r="R44" i="4"/>
  <c r="S44" i="4" s="1"/>
  <c r="R45" i="4"/>
  <c r="S45" i="4" s="1"/>
  <c r="R46" i="4"/>
  <c r="S46" i="4" s="1"/>
  <c r="R47" i="4"/>
  <c r="S47" i="4" s="1"/>
  <c r="R48" i="4"/>
  <c r="S48" i="4" s="1"/>
  <c r="R49" i="4"/>
  <c r="S49" i="4" s="1"/>
  <c r="R50" i="4"/>
  <c r="S50" i="4" s="1"/>
  <c r="R51" i="4"/>
  <c r="S51" i="4" s="1"/>
  <c r="R52" i="4"/>
  <c r="S52" i="4" s="1"/>
  <c r="R53" i="4"/>
  <c r="S53" i="4" s="1"/>
  <c r="R54" i="4"/>
  <c r="S54" i="4" s="1"/>
  <c r="R55" i="4"/>
  <c r="S55" i="4" s="1"/>
  <c r="R56" i="4"/>
  <c r="S56" i="4" s="1"/>
  <c r="R57" i="4"/>
  <c r="S57" i="4" s="1"/>
  <c r="R58" i="4"/>
  <c r="S58" i="4" s="1"/>
  <c r="R59" i="4"/>
  <c r="S59" i="4" s="1"/>
  <c r="R60" i="4"/>
  <c r="S60" i="4" s="1"/>
  <c r="R61" i="4"/>
  <c r="S61" i="4" s="1"/>
  <c r="R62" i="4"/>
  <c r="S62" i="4" s="1"/>
  <c r="R63" i="4"/>
  <c r="S63" i="4" s="1"/>
  <c r="R64" i="4"/>
  <c r="S64" i="4" s="1"/>
  <c r="R65" i="4"/>
  <c r="S65" i="4" s="1"/>
  <c r="R66" i="4"/>
  <c r="S66" i="4" s="1"/>
  <c r="R67" i="4"/>
  <c r="S67" i="4" s="1"/>
  <c r="R68" i="4"/>
  <c r="S68" i="4" s="1"/>
  <c r="R69" i="4"/>
  <c r="S69" i="4" s="1"/>
  <c r="R70" i="4"/>
  <c r="S70" i="4" s="1"/>
  <c r="R71" i="4"/>
  <c r="S71" i="4" s="1"/>
  <c r="R72" i="4"/>
  <c r="S72" i="4" s="1"/>
  <c r="R73" i="4"/>
  <c r="S73" i="4" s="1"/>
  <c r="R74" i="4"/>
  <c r="S74" i="4" s="1"/>
  <c r="R75" i="4"/>
  <c r="S75" i="4" s="1"/>
  <c r="R76" i="4"/>
  <c r="S76" i="4" s="1"/>
  <c r="R77" i="4"/>
  <c r="S77" i="4" s="1"/>
  <c r="R78" i="4"/>
  <c r="S78" i="4" s="1"/>
  <c r="R79" i="4"/>
  <c r="S79" i="4" s="1"/>
  <c r="R80" i="4"/>
  <c r="S80" i="4" s="1"/>
  <c r="R81" i="4"/>
  <c r="S81" i="4" s="1"/>
  <c r="R82" i="4"/>
  <c r="S82" i="4" s="1"/>
  <c r="R83" i="4"/>
  <c r="S83" i="4" s="1"/>
  <c r="R84" i="4"/>
  <c r="S84" i="4" s="1"/>
  <c r="R85" i="4"/>
  <c r="S85" i="4" s="1"/>
  <c r="R86" i="4"/>
  <c r="S86" i="4" s="1"/>
  <c r="R87" i="4"/>
  <c r="S87" i="4" s="1"/>
  <c r="R88" i="4"/>
  <c r="S88" i="4" s="1"/>
  <c r="R89" i="4"/>
  <c r="S89" i="4" s="1"/>
  <c r="R90" i="4"/>
  <c r="S90" i="4" s="1"/>
  <c r="R91" i="4"/>
  <c r="S91" i="4" s="1"/>
  <c r="R92" i="4"/>
  <c r="S92" i="4" s="1"/>
  <c r="R93" i="4"/>
  <c r="S93" i="4" s="1"/>
  <c r="R94" i="4"/>
  <c r="S94" i="4" s="1"/>
  <c r="R95" i="4"/>
  <c r="S95" i="4" s="1"/>
  <c r="R96" i="4"/>
  <c r="S96" i="4" s="1"/>
  <c r="R97" i="4"/>
  <c r="S97" i="4" s="1"/>
  <c r="R98" i="4"/>
  <c r="S98" i="4" s="1"/>
  <c r="R99" i="4"/>
  <c r="S99" i="4" s="1"/>
  <c r="R100" i="4"/>
  <c r="S100" i="4" s="1"/>
  <c r="R101" i="4"/>
  <c r="S101" i="4" s="1"/>
  <c r="R102" i="4"/>
  <c r="S102" i="4" s="1"/>
  <c r="R103" i="4"/>
  <c r="S103" i="4" s="1"/>
  <c r="R104" i="4"/>
  <c r="S104" i="4" s="1"/>
  <c r="R105" i="4"/>
  <c r="S105" i="4" s="1"/>
  <c r="R106" i="4"/>
  <c r="S106" i="4" s="1"/>
  <c r="R107" i="4"/>
  <c r="S107" i="4" s="1"/>
  <c r="R108" i="4"/>
  <c r="S108" i="4" s="1"/>
  <c r="R109" i="4"/>
  <c r="S109" i="4" s="1"/>
  <c r="R110" i="4"/>
  <c r="S110" i="4" s="1"/>
  <c r="R111" i="4"/>
  <c r="S111" i="4" s="1"/>
  <c r="R112" i="4"/>
  <c r="S112" i="4" s="1"/>
  <c r="R113" i="4"/>
  <c r="S113" i="4" s="1"/>
  <c r="R114" i="4"/>
  <c r="S114" i="4" s="1"/>
  <c r="R115" i="4"/>
  <c r="S115" i="4" s="1"/>
  <c r="R120" i="4"/>
  <c r="S120" i="4" s="1"/>
  <c r="R121" i="4"/>
  <c r="S121" i="4" s="1"/>
  <c r="R122" i="4"/>
  <c r="S122" i="4" s="1"/>
  <c r="R126" i="4"/>
  <c r="S126" i="4" s="1"/>
  <c r="R127" i="4"/>
  <c r="S127" i="4" s="1"/>
  <c r="R128" i="4"/>
  <c r="S128" i="4" s="1"/>
  <c r="R129" i="4"/>
  <c r="S129" i="4" s="1"/>
  <c r="R130" i="4"/>
  <c r="S130" i="4" s="1"/>
  <c r="R131" i="4"/>
  <c r="S131" i="4" s="1"/>
  <c r="R132" i="4"/>
  <c r="S132" i="4" s="1"/>
  <c r="R133" i="4"/>
  <c r="S133" i="4" s="1"/>
  <c r="R134" i="4"/>
  <c r="S134" i="4" s="1"/>
  <c r="R135" i="4"/>
  <c r="S135" i="4" s="1"/>
  <c r="R136" i="4"/>
  <c r="S136" i="4" s="1"/>
  <c r="R137" i="4"/>
  <c r="S137" i="4" s="1"/>
  <c r="R140" i="4"/>
  <c r="S140" i="4" s="1"/>
  <c r="R142" i="4"/>
  <c r="S142" i="4" s="1"/>
  <c r="R143" i="4"/>
  <c r="S143" i="4" s="1"/>
  <c r="R144" i="4"/>
  <c r="S144" i="4" s="1"/>
  <c r="R145" i="4"/>
  <c r="S145" i="4" s="1"/>
  <c r="R146" i="4"/>
  <c r="S146" i="4" s="1"/>
  <c r="R147" i="4"/>
  <c r="S147" i="4" s="1"/>
  <c r="R148" i="4"/>
  <c r="S148" i="4" s="1"/>
  <c r="R149" i="4"/>
  <c r="S149" i="4" s="1"/>
  <c r="R150" i="4"/>
  <c r="S150" i="4" s="1"/>
  <c r="R151" i="4"/>
  <c r="S151" i="4" s="1"/>
  <c r="R152" i="4"/>
  <c r="S152" i="4" s="1"/>
  <c r="R153" i="4"/>
  <c r="S153" i="4" s="1"/>
  <c r="R154" i="4"/>
  <c r="S154" i="4" s="1"/>
  <c r="R155" i="4"/>
  <c r="S155" i="4" s="1"/>
  <c r="R141" i="4"/>
  <c r="S141" i="4" s="1"/>
  <c r="R156" i="4"/>
  <c r="S156" i="4" s="1"/>
  <c r="R158" i="4"/>
  <c r="S158" i="4" s="1"/>
  <c r="R159" i="4"/>
  <c r="S159" i="4" s="1"/>
  <c r="R160" i="4"/>
  <c r="S160" i="4" s="1"/>
  <c r="R3" i="4"/>
  <c r="S3" i="4" s="1"/>
  <c r="R4" i="3"/>
  <c r="S4" i="3" s="1"/>
  <c r="R5" i="3"/>
  <c r="S5" i="3" s="1"/>
  <c r="R6" i="3"/>
  <c r="S6" i="3" s="1"/>
  <c r="R7" i="3"/>
  <c r="S7" i="3" s="1"/>
  <c r="R8" i="3"/>
  <c r="S8" i="3" s="1"/>
  <c r="R9" i="3"/>
  <c r="S9" i="3" s="1"/>
  <c r="R10" i="3"/>
  <c r="S10" i="3" s="1"/>
  <c r="R11" i="3"/>
  <c r="S11" i="3" s="1"/>
  <c r="R12" i="3"/>
  <c r="S12" i="3" s="1"/>
  <c r="R13" i="3"/>
  <c r="S13" i="3" s="1"/>
  <c r="R14" i="3"/>
  <c r="S14" i="3" s="1"/>
  <c r="R15" i="3"/>
  <c r="S15" i="3" s="1"/>
  <c r="R16" i="3"/>
  <c r="S16" i="3" s="1"/>
  <c r="R17" i="3"/>
  <c r="S17" i="3" s="1"/>
  <c r="R18" i="3"/>
  <c r="S18" i="3" s="1"/>
  <c r="R19" i="3"/>
  <c r="S19" i="3" s="1"/>
  <c r="R20" i="3"/>
  <c r="S20" i="3" s="1"/>
  <c r="R22" i="3"/>
  <c r="S22" i="3" s="1"/>
  <c r="R23" i="3"/>
  <c r="S23" i="3" s="1"/>
  <c r="R24" i="3"/>
  <c r="S24" i="3" s="1"/>
  <c r="R25" i="3"/>
  <c r="S25" i="3" s="1"/>
  <c r="R26" i="3"/>
  <c r="S26" i="3" s="1"/>
  <c r="R27" i="3"/>
  <c r="S27" i="3" s="1"/>
  <c r="R28" i="3"/>
  <c r="S28" i="3" s="1"/>
  <c r="R29" i="3"/>
  <c r="S29" i="3" s="1"/>
  <c r="R30" i="3"/>
  <c r="S30" i="3" s="1"/>
  <c r="R31" i="3"/>
  <c r="S31" i="3" s="1"/>
  <c r="R32" i="3"/>
  <c r="S32" i="3" s="1"/>
  <c r="R33" i="3"/>
  <c r="S33" i="3" s="1"/>
  <c r="R34" i="3"/>
  <c r="S34" i="3" s="1"/>
  <c r="R35" i="3"/>
  <c r="S35" i="3" s="1"/>
  <c r="R36" i="3"/>
  <c r="S36" i="3" s="1"/>
  <c r="R37" i="3"/>
  <c r="S37" i="3" s="1"/>
  <c r="R38" i="3"/>
  <c r="S38" i="3" s="1"/>
  <c r="R39" i="3"/>
  <c r="S39" i="3" s="1"/>
  <c r="R40" i="3"/>
  <c r="S40" i="3" s="1"/>
  <c r="R41" i="3"/>
  <c r="S41" i="3" s="1"/>
  <c r="R42" i="3"/>
  <c r="S42" i="3" s="1"/>
  <c r="R43" i="3"/>
  <c r="S43" i="3" s="1"/>
  <c r="R44" i="3"/>
  <c r="S44" i="3" s="1"/>
  <c r="R45" i="3"/>
  <c r="S45" i="3" s="1"/>
  <c r="R46" i="3"/>
  <c r="S46" i="3" s="1"/>
  <c r="R47" i="3"/>
  <c r="S47" i="3" s="1"/>
  <c r="R48" i="3"/>
  <c r="S48" i="3" s="1"/>
  <c r="R49" i="3"/>
  <c r="S49" i="3" s="1"/>
  <c r="R50" i="3"/>
  <c r="S50" i="3" s="1"/>
  <c r="R51" i="3"/>
  <c r="S51" i="3" s="1"/>
  <c r="R52" i="3"/>
  <c r="S52" i="3" s="1"/>
  <c r="R53" i="3"/>
  <c r="S53" i="3" s="1"/>
  <c r="R54" i="3"/>
  <c r="S54" i="3" s="1"/>
  <c r="R55" i="3"/>
  <c r="S55" i="3" s="1"/>
  <c r="R56" i="3"/>
  <c r="S56" i="3" s="1"/>
  <c r="R57" i="3"/>
  <c r="S57" i="3" s="1"/>
  <c r="R58" i="3"/>
  <c r="S58" i="3" s="1"/>
  <c r="R59" i="3"/>
  <c r="S59" i="3" s="1"/>
  <c r="R60" i="3"/>
  <c r="S60" i="3" s="1"/>
  <c r="R61" i="3"/>
  <c r="S61" i="3" s="1"/>
  <c r="R62" i="3"/>
  <c r="S62" i="3" s="1"/>
  <c r="R63" i="3"/>
  <c r="S63" i="3" s="1"/>
  <c r="R64" i="3"/>
  <c r="S64" i="3" s="1"/>
  <c r="R65" i="3"/>
  <c r="S65" i="3" s="1"/>
  <c r="R66" i="3"/>
  <c r="S66" i="3" s="1"/>
  <c r="R67" i="3"/>
  <c r="S67" i="3" s="1"/>
  <c r="R68" i="3"/>
  <c r="S68" i="3" s="1"/>
  <c r="R69" i="3"/>
  <c r="S69" i="3" s="1"/>
  <c r="R70" i="3"/>
  <c r="S70" i="3" s="1"/>
  <c r="R71" i="3"/>
  <c r="S71" i="3" s="1"/>
  <c r="R72" i="3"/>
  <c r="S72" i="3" s="1"/>
  <c r="R73" i="3"/>
  <c r="S73" i="3" s="1"/>
  <c r="R74" i="3"/>
  <c r="S74" i="3" s="1"/>
  <c r="R75" i="3"/>
  <c r="S75" i="3" s="1"/>
  <c r="R76" i="3"/>
  <c r="S76" i="3" s="1"/>
  <c r="R77" i="3"/>
  <c r="S77" i="3" s="1"/>
  <c r="R78" i="3"/>
  <c r="S78" i="3" s="1"/>
  <c r="R79" i="3"/>
  <c r="S79" i="3" s="1"/>
  <c r="R80" i="3"/>
  <c r="S80" i="3" s="1"/>
  <c r="R81" i="3"/>
  <c r="S81" i="3" s="1"/>
  <c r="R82" i="3"/>
  <c r="S82" i="3" s="1"/>
  <c r="R83" i="3"/>
  <c r="S83" i="3" s="1"/>
  <c r="R84" i="3"/>
  <c r="S84" i="3" s="1"/>
  <c r="R88" i="3"/>
  <c r="S88" i="3" s="1"/>
  <c r="R3" i="3"/>
  <c r="S3" i="3" s="1"/>
  <c r="R4" i="2"/>
  <c r="S4" i="2" s="1"/>
  <c r="R5" i="2"/>
  <c r="S5" i="2" s="1"/>
  <c r="R6" i="2"/>
  <c r="S6" i="2" s="1"/>
  <c r="R7" i="2"/>
  <c r="S7" i="2" s="1"/>
  <c r="R8" i="2"/>
  <c r="S8" i="2" s="1"/>
  <c r="R9" i="2"/>
  <c r="S9" i="2" s="1"/>
  <c r="R10" i="2"/>
  <c r="S10" i="2" s="1"/>
  <c r="R11" i="2"/>
  <c r="S11" i="2" s="1"/>
  <c r="R12" i="2"/>
  <c r="S12" i="2" s="1"/>
  <c r="R13" i="2"/>
  <c r="S13" i="2" s="1"/>
  <c r="R14" i="2"/>
  <c r="S14" i="2" s="1"/>
  <c r="R15" i="2"/>
  <c r="S15" i="2" s="1"/>
  <c r="R16" i="2"/>
  <c r="S16" i="2" s="1"/>
  <c r="R17" i="2"/>
  <c r="S17" i="2" s="1"/>
  <c r="R18" i="2"/>
  <c r="S18" i="2" s="1"/>
  <c r="R19" i="2"/>
  <c r="S19" i="2" s="1"/>
  <c r="R20" i="2"/>
  <c r="S20" i="2" s="1"/>
  <c r="R22" i="2"/>
  <c r="S22" i="2" s="1"/>
  <c r="R23" i="2"/>
  <c r="S23" i="2" s="1"/>
  <c r="R24" i="2"/>
  <c r="S24" i="2" s="1"/>
  <c r="R25" i="2"/>
  <c r="S25" i="2" s="1"/>
  <c r="R26" i="2"/>
  <c r="S26" i="2" s="1"/>
  <c r="R27" i="2"/>
  <c r="S27" i="2" s="1"/>
  <c r="R28" i="2"/>
  <c r="S28" i="2" s="1"/>
  <c r="R29" i="2"/>
  <c r="S29" i="2" s="1"/>
  <c r="R30" i="2"/>
  <c r="S30" i="2" s="1"/>
  <c r="R31" i="2"/>
  <c r="S31" i="2" s="1"/>
  <c r="R32" i="2"/>
  <c r="S32" i="2" s="1"/>
  <c r="R33" i="2"/>
  <c r="S33" i="2" s="1"/>
  <c r="R34" i="2"/>
  <c r="S34" i="2" s="1"/>
  <c r="R35" i="2"/>
  <c r="S35" i="2" s="1"/>
  <c r="R36" i="2"/>
  <c r="S36" i="2" s="1"/>
  <c r="R37" i="2"/>
  <c r="S37" i="2" s="1"/>
  <c r="R38" i="2"/>
  <c r="S38" i="2" s="1"/>
  <c r="R39" i="2"/>
  <c r="S39" i="2" s="1"/>
  <c r="R40" i="2"/>
  <c r="S40" i="2" s="1"/>
  <c r="R41" i="2"/>
  <c r="S41" i="2" s="1"/>
  <c r="R42" i="2"/>
  <c r="S42" i="2" s="1"/>
  <c r="R43" i="2"/>
  <c r="S43" i="2" s="1"/>
  <c r="R44" i="2"/>
  <c r="S44" i="2" s="1"/>
  <c r="R45" i="2"/>
  <c r="S45" i="2" s="1"/>
  <c r="R46" i="2"/>
  <c r="S46" i="2" s="1"/>
  <c r="R47" i="2"/>
  <c r="S47" i="2" s="1"/>
  <c r="R48" i="2"/>
  <c r="S48" i="2" s="1"/>
  <c r="R49" i="2"/>
  <c r="S49" i="2" s="1"/>
  <c r="R50" i="2"/>
  <c r="S50" i="2" s="1"/>
  <c r="R51" i="2"/>
  <c r="S51" i="2" s="1"/>
  <c r="R52" i="2"/>
  <c r="S52" i="2" s="1"/>
  <c r="R53" i="2"/>
  <c r="S53" i="2" s="1"/>
  <c r="R54" i="2"/>
  <c r="S54" i="2" s="1"/>
  <c r="R55" i="2"/>
  <c r="S55" i="2" s="1"/>
  <c r="R56" i="2"/>
  <c r="S56" i="2" s="1"/>
  <c r="R57" i="2"/>
  <c r="S57" i="2" s="1"/>
  <c r="R58" i="2"/>
  <c r="S58" i="2" s="1"/>
  <c r="R60" i="2"/>
  <c r="S60" i="2" s="1"/>
  <c r="R61" i="2"/>
  <c r="S61" i="2" s="1"/>
  <c r="R62" i="2"/>
  <c r="S62" i="2" s="1"/>
  <c r="R63" i="2"/>
  <c r="S63" i="2" s="1"/>
  <c r="R64" i="2"/>
  <c r="S64" i="2" s="1"/>
  <c r="R65" i="2"/>
  <c r="S65" i="2" s="1"/>
  <c r="R66" i="2"/>
  <c r="S66" i="2" s="1"/>
  <c r="R67" i="2"/>
  <c r="S67" i="2" s="1"/>
  <c r="R68" i="2"/>
  <c r="S68" i="2" s="1"/>
  <c r="R69" i="2"/>
  <c r="S69" i="2" s="1"/>
  <c r="R70" i="2"/>
  <c r="S70" i="2" s="1"/>
  <c r="R71" i="2"/>
  <c r="S71" i="2" s="1"/>
  <c r="R72" i="2"/>
  <c r="S72" i="2" s="1"/>
  <c r="R73" i="2"/>
  <c r="S73" i="2" s="1"/>
  <c r="R74" i="2"/>
  <c r="S74" i="2" s="1"/>
  <c r="R75" i="2"/>
  <c r="S75" i="2" s="1"/>
  <c r="R76" i="2"/>
  <c r="S76" i="2" s="1"/>
  <c r="R77" i="2"/>
  <c r="S77" i="2" s="1"/>
  <c r="R78" i="2"/>
  <c r="S78" i="2" s="1"/>
  <c r="R79" i="2"/>
  <c r="S79" i="2" s="1"/>
  <c r="R80" i="2"/>
  <c r="S80" i="2" s="1"/>
  <c r="R81" i="2"/>
  <c r="S81" i="2" s="1"/>
  <c r="R82" i="2"/>
  <c r="S82" i="2" s="1"/>
  <c r="R83" i="2"/>
  <c r="S83" i="2" s="1"/>
  <c r="R84" i="2"/>
  <c r="S84" i="2" s="1"/>
  <c r="R85" i="2"/>
  <c r="S85" i="2" s="1"/>
  <c r="R86" i="2"/>
  <c r="S86" i="2" s="1"/>
  <c r="R90" i="2"/>
  <c r="S90" i="2" s="1"/>
  <c r="R3" i="2"/>
  <c r="S3" i="2" s="1"/>
  <c r="R4" i="1"/>
  <c r="S4" i="1" s="1"/>
  <c r="R5" i="1"/>
  <c r="S5" i="1" s="1"/>
  <c r="R6" i="1"/>
  <c r="S6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5" i="1"/>
  <c r="S15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R32" i="1"/>
  <c r="S32" i="1" s="1"/>
  <c r="R33" i="1"/>
  <c r="S33" i="1" s="1"/>
  <c r="R34" i="1"/>
  <c r="S34" i="1" s="1"/>
  <c r="R35" i="1"/>
  <c r="S35" i="1" s="1"/>
  <c r="R36" i="1"/>
  <c r="S36" i="1" s="1"/>
  <c r="R37" i="1"/>
  <c r="S37" i="1" s="1"/>
  <c r="R38" i="1"/>
  <c r="S38" i="1" s="1"/>
  <c r="R39" i="1"/>
  <c r="S39" i="1" s="1"/>
  <c r="R40" i="1"/>
  <c r="S40" i="1" s="1"/>
  <c r="R41" i="1"/>
  <c r="S41" i="1" s="1"/>
  <c r="R42" i="1"/>
  <c r="S42" i="1" s="1"/>
  <c r="R43" i="1"/>
  <c r="S43" i="1" s="1"/>
  <c r="R44" i="1"/>
  <c r="S44" i="1" s="1"/>
  <c r="R45" i="1"/>
  <c r="S45" i="1" s="1"/>
  <c r="R46" i="1"/>
  <c r="S46" i="1" s="1"/>
  <c r="R47" i="1"/>
  <c r="S47" i="1" s="1"/>
  <c r="R48" i="1"/>
  <c r="S48" i="1" s="1"/>
  <c r="R49" i="1"/>
  <c r="S49" i="1" s="1"/>
  <c r="R50" i="1"/>
  <c r="S50" i="1" s="1"/>
  <c r="R51" i="1"/>
  <c r="S51" i="1" s="1"/>
  <c r="R52" i="1"/>
  <c r="S52" i="1" s="1"/>
  <c r="R53" i="1"/>
  <c r="S53" i="1" s="1"/>
  <c r="R54" i="1"/>
  <c r="S54" i="1" s="1"/>
  <c r="R55" i="1"/>
  <c r="S55" i="1" s="1"/>
  <c r="R56" i="1"/>
  <c r="S56" i="1" s="1"/>
  <c r="R57" i="1"/>
  <c r="S57" i="1" s="1"/>
  <c r="R58" i="1"/>
  <c r="S58" i="1" s="1"/>
  <c r="R59" i="1"/>
  <c r="S59" i="1" s="1"/>
  <c r="R60" i="1"/>
  <c r="S60" i="1" s="1"/>
  <c r="R61" i="1"/>
  <c r="S61" i="1" s="1"/>
  <c r="R62" i="1"/>
  <c r="S62" i="1" s="1"/>
  <c r="R63" i="1"/>
  <c r="S63" i="1" s="1"/>
  <c r="R64" i="1"/>
  <c r="S64" i="1" s="1"/>
  <c r="R65" i="1"/>
  <c r="S65" i="1" s="1"/>
  <c r="R66" i="1"/>
  <c r="S66" i="1" s="1"/>
  <c r="R67" i="1"/>
  <c r="S67" i="1" s="1"/>
  <c r="R68" i="1"/>
  <c r="S68" i="1" s="1"/>
  <c r="R69" i="1"/>
  <c r="S69" i="1" s="1"/>
  <c r="R70" i="1"/>
  <c r="S70" i="1" s="1"/>
  <c r="R71" i="1"/>
  <c r="S71" i="1" s="1"/>
  <c r="R72" i="1"/>
  <c r="S72" i="1" s="1"/>
  <c r="R73" i="1"/>
  <c r="S73" i="1" s="1"/>
  <c r="R74" i="1"/>
  <c r="S74" i="1" s="1"/>
  <c r="R75" i="1"/>
  <c r="S75" i="1" s="1"/>
  <c r="R76" i="1"/>
  <c r="S76" i="1" s="1"/>
  <c r="R77" i="1"/>
  <c r="S77" i="1" s="1"/>
  <c r="R78" i="1"/>
  <c r="S78" i="1" s="1"/>
  <c r="R79" i="1"/>
  <c r="S79" i="1" s="1"/>
  <c r="R80" i="1"/>
  <c r="S80" i="1" s="1"/>
  <c r="R81" i="1"/>
  <c r="S81" i="1" s="1"/>
  <c r="R82" i="1"/>
  <c r="S82" i="1" s="1"/>
  <c r="R83" i="1"/>
  <c r="S83" i="1" s="1"/>
  <c r="R87" i="1"/>
  <c r="S87" i="1" s="1"/>
  <c r="R3" i="1"/>
  <c r="S3" i="1" s="1"/>
  <c r="D65" i="11" l="1"/>
  <c r="R29" i="10" s="1"/>
  <c r="S29" i="10" s="1"/>
  <c r="D63" i="11"/>
  <c r="R22" i="8" s="1"/>
  <c r="S22" i="8" s="1"/>
  <c r="D62" i="11"/>
  <c r="R23" i="6" s="1"/>
  <c r="S23" i="6" s="1"/>
  <c r="D61" i="11"/>
  <c r="R21" i="5" s="1"/>
  <c r="S21" i="5" s="1"/>
  <c r="D60" i="11"/>
  <c r="R24" i="4" s="1"/>
  <c r="S24" i="4" s="1"/>
  <c r="J122" i="4"/>
  <c r="J93" i="4"/>
  <c r="J121" i="5"/>
  <c r="J91" i="5"/>
  <c r="J92" i="6"/>
  <c r="J123" i="6"/>
  <c r="J95" i="8"/>
  <c r="J126" i="8"/>
  <c r="J133" i="10"/>
  <c r="J102" i="10"/>
  <c r="J95" i="9"/>
  <c r="J126" i="9"/>
  <c r="J161" i="4"/>
  <c r="J24" i="9"/>
  <c r="J26" i="10"/>
  <c r="O28" i="9"/>
  <c r="R28" i="9" s="1"/>
  <c r="S28" i="9" s="1"/>
  <c r="J87" i="1" l="1"/>
  <c r="J82" i="3" l="1"/>
  <c r="J83" i="3"/>
  <c r="J84" i="3"/>
  <c r="J86" i="2"/>
  <c r="J85" i="2"/>
  <c r="J24" i="10"/>
  <c r="J25" i="10"/>
  <c r="J27" i="10"/>
  <c r="J28" i="10"/>
  <c r="J29" i="10"/>
  <c r="J103" i="10"/>
  <c r="J158" i="10"/>
  <c r="J157" i="10"/>
  <c r="J156" i="10"/>
  <c r="J155" i="10"/>
  <c r="J154" i="10"/>
  <c r="J153" i="10"/>
  <c r="J152" i="10"/>
  <c r="J151" i="10"/>
  <c r="J150" i="10"/>
  <c r="J181" i="10"/>
  <c r="J177" i="10"/>
  <c r="J180" i="10"/>
  <c r="J179" i="10"/>
  <c r="J178" i="10"/>
  <c r="J176" i="10"/>
  <c r="J160" i="10"/>
  <c r="J175" i="10"/>
  <c r="J174" i="10"/>
  <c r="J173" i="10"/>
  <c r="J172" i="10"/>
  <c r="J171" i="10"/>
  <c r="J170" i="10"/>
  <c r="J169" i="10"/>
  <c r="J168" i="10"/>
  <c r="J167" i="10"/>
  <c r="J166" i="10"/>
  <c r="J165" i="10"/>
  <c r="J164" i="10"/>
  <c r="J163" i="10"/>
  <c r="J162" i="10"/>
  <c r="J161" i="10"/>
  <c r="J159" i="10"/>
  <c r="J146" i="10"/>
  <c r="J145" i="10"/>
  <c r="J144" i="10"/>
  <c r="J143" i="10"/>
  <c r="J142" i="10"/>
  <c r="J141" i="10"/>
  <c r="J140" i="10"/>
  <c r="J139" i="10"/>
  <c r="J138" i="10"/>
  <c r="J132" i="10"/>
  <c r="J131" i="10"/>
  <c r="J101" i="10"/>
  <c r="J100" i="10"/>
  <c r="J99" i="10"/>
  <c r="J98" i="10"/>
  <c r="J97" i="10"/>
  <c r="J96" i="10"/>
  <c r="J95" i="10"/>
  <c r="J94" i="10"/>
  <c r="J93" i="10"/>
  <c r="J92" i="10"/>
  <c r="J91" i="10"/>
  <c r="J90" i="10"/>
  <c r="J89" i="10"/>
  <c r="J88" i="10"/>
  <c r="J87" i="10"/>
  <c r="J86" i="10"/>
  <c r="J85" i="10"/>
  <c r="J84" i="10"/>
  <c r="J83" i="10"/>
  <c r="J82" i="10"/>
  <c r="J81" i="10"/>
  <c r="J80" i="10"/>
  <c r="J79" i="10"/>
  <c r="J78" i="10"/>
  <c r="J77" i="10"/>
  <c r="J76" i="10"/>
  <c r="J75" i="10"/>
  <c r="J74" i="10"/>
  <c r="J73" i="10"/>
  <c r="J72" i="10"/>
  <c r="J71" i="10"/>
  <c r="J70" i="10"/>
  <c r="J69" i="10"/>
  <c r="J68" i="10"/>
  <c r="J67" i="10"/>
  <c r="J66" i="10"/>
  <c r="J65" i="10"/>
  <c r="J64" i="10"/>
  <c r="J63" i="10"/>
  <c r="J62" i="10"/>
  <c r="J61" i="10"/>
  <c r="J60" i="10"/>
  <c r="J59" i="10"/>
  <c r="J58" i="10"/>
  <c r="J57" i="10"/>
  <c r="J56" i="10"/>
  <c r="J55" i="10"/>
  <c r="J54" i="10"/>
  <c r="J53" i="10"/>
  <c r="J52" i="10"/>
  <c r="J51" i="10"/>
  <c r="J50" i="10"/>
  <c r="J49" i="10"/>
  <c r="J48" i="10"/>
  <c r="J47" i="10"/>
  <c r="J46" i="10"/>
  <c r="J45" i="10"/>
  <c r="J44" i="10"/>
  <c r="J43" i="10"/>
  <c r="J42" i="10"/>
  <c r="J41" i="10"/>
  <c r="J40" i="10"/>
  <c r="J39" i="10"/>
  <c r="J38" i="10"/>
  <c r="J37" i="10"/>
  <c r="J36" i="10"/>
  <c r="J130" i="10"/>
  <c r="J129" i="10"/>
  <c r="J128" i="10"/>
  <c r="J127" i="10"/>
  <c r="J126" i="10"/>
  <c r="J125" i="10"/>
  <c r="J124" i="10"/>
  <c r="J123" i="10"/>
  <c r="J122" i="10"/>
  <c r="J121" i="10"/>
  <c r="J120" i="10"/>
  <c r="J119" i="10"/>
  <c r="J118" i="10"/>
  <c r="J117" i="10"/>
  <c r="J116" i="10"/>
  <c r="J115" i="10"/>
  <c r="J114" i="10"/>
  <c r="J113" i="10"/>
  <c r="J112" i="10"/>
  <c r="J111" i="10"/>
  <c r="J110" i="10"/>
  <c r="J109" i="10"/>
  <c r="J108" i="10"/>
  <c r="J107" i="10"/>
  <c r="J106" i="10"/>
  <c r="J105" i="10"/>
  <c r="J104" i="10"/>
  <c r="J147" i="10"/>
  <c r="J33" i="10"/>
  <c r="J32" i="10"/>
  <c r="J31" i="10"/>
  <c r="J30" i="10"/>
  <c r="J23" i="10"/>
  <c r="J22" i="10"/>
  <c r="J21" i="10"/>
  <c r="J20" i="10"/>
  <c r="J19" i="10"/>
  <c r="J18" i="10"/>
  <c r="J17" i="10"/>
  <c r="J16" i="10"/>
  <c r="J15" i="10"/>
  <c r="J14" i="10"/>
  <c r="J13" i="10"/>
  <c r="J12" i="10"/>
  <c r="J11" i="10"/>
  <c r="J10" i="10"/>
  <c r="J9" i="10"/>
  <c r="J8" i="10"/>
  <c r="J7" i="10"/>
  <c r="J6" i="10"/>
  <c r="J5" i="10"/>
  <c r="J4" i="10"/>
  <c r="J3" i="10"/>
  <c r="J2" i="10"/>
  <c r="O33" i="10"/>
  <c r="R33" i="10" s="1"/>
  <c r="S33" i="10" s="1"/>
  <c r="O160" i="10"/>
  <c r="R160" i="10" s="1"/>
  <c r="S160" i="10" s="1"/>
  <c r="J23" i="9"/>
  <c r="J139" i="9"/>
  <c r="J138" i="9"/>
  <c r="J137" i="9"/>
  <c r="J151" i="9"/>
  <c r="J150" i="9"/>
  <c r="J149" i="9"/>
  <c r="J148" i="9"/>
  <c r="J147" i="9"/>
  <c r="J146" i="9"/>
  <c r="J145" i="9"/>
  <c r="J144" i="9"/>
  <c r="J143" i="9"/>
  <c r="J174" i="9"/>
  <c r="J173" i="9"/>
  <c r="J172" i="9"/>
  <c r="J171" i="9"/>
  <c r="J169" i="9"/>
  <c r="J153" i="9"/>
  <c r="J166" i="9"/>
  <c r="J165" i="9"/>
  <c r="J164" i="9"/>
  <c r="J163" i="9"/>
  <c r="J162" i="9"/>
  <c r="J161" i="9"/>
  <c r="J160" i="9"/>
  <c r="J159" i="9"/>
  <c r="J158" i="9"/>
  <c r="J157" i="9"/>
  <c r="J156" i="9"/>
  <c r="J155" i="9"/>
  <c r="J154" i="9"/>
  <c r="J152" i="9"/>
  <c r="J168" i="9"/>
  <c r="J167" i="9"/>
  <c r="J136" i="9"/>
  <c r="J135" i="9"/>
  <c r="J134" i="9"/>
  <c r="J133" i="9"/>
  <c r="J132" i="9"/>
  <c r="J131" i="9"/>
  <c r="J125" i="9"/>
  <c r="J124" i="9"/>
  <c r="J94" i="9"/>
  <c r="J93" i="9"/>
  <c r="J92" i="9"/>
  <c r="J91" i="9"/>
  <c r="J90" i="9"/>
  <c r="J89" i="9"/>
  <c r="J88" i="9"/>
  <c r="J87" i="9"/>
  <c r="J86" i="9"/>
  <c r="J85" i="9"/>
  <c r="J84" i="9"/>
  <c r="J83" i="9"/>
  <c r="J82" i="9"/>
  <c r="J81" i="9"/>
  <c r="J80" i="9"/>
  <c r="J79" i="9"/>
  <c r="J78" i="9"/>
  <c r="J77" i="9"/>
  <c r="J76" i="9"/>
  <c r="J75" i="9"/>
  <c r="J74" i="9"/>
  <c r="J73" i="9"/>
  <c r="J72" i="9"/>
  <c r="J71" i="9"/>
  <c r="J70" i="9"/>
  <c r="J69" i="9"/>
  <c r="J68" i="9"/>
  <c r="J67" i="9"/>
  <c r="J66" i="9"/>
  <c r="J65" i="9"/>
  <c r="J64" i="9"/>
  <c r="J63" i="9"/>
  <c r="J62" i="9"/>
  <c r="J61" i="9"/>
  <c r="J60" i="9"/>
  <c r="J59" i="9"/>
  <c r="J58" i="9"/>
  <c r="J57" i="9"/>
  <c r="J56" i="9"/>
  <c r="J55" i="9"/>
  <c r="J54" i="9"/>
  <c r="J53" i="9"/>
  <c r="J52" i="9"/>
  <c r="J51" i="9"/>
  <c r="J50" i="9"/>
  <c r="J49" i="9"/>
  <c r="J48" i="9"/>
  <c r="J47" i="9"/>
  <c r="J46" i="9"/>
  <c r="J45" i="9"/>
  <c r="J44" i="9"/>
  <c r="J43" i="9"/>
  <c r="J42" i="9"/>
  <c r="J41" i="9"/>
  <c r="J40" i="9"/>
  <c r="J39" i="9"/>
  <c r="J38" i="9"/>
  <c r="J37" i="9"/>
  <c r="J36" i="9"/>
  <c r="J35" i="9"/>
  <c r="J34" i="9"/>
  <c r="J33" i="9"/>
  <c r="J32" i="9"/>
  <c r="J31" i="9"/>
  <c r="J123" i="9"/>
  <c r="J122" i="9"/>
  <c r="J121" i="9"/>
  <c r="J120" i="9"/>
  <c r="J119" i="9"/>
  <c r="J118" i="9"/>
  <c r="J117" i="9"/>
  <c r="J116" i="9"/>
  <c r="J115" i="9"/>
  <c r="J114" i="9"/>
  <c r="J113" i="9"/>
  <c r="J112" i="9"/>
  <c r="J111" i="9"/>
  <c r="J110" i="9"/>
  <c r="J109" i="9"/>
  <c r="J108" i="9"/>
  <c r="J107" i="9"/>
  <c r="J106" i="9"/>
  <c r="J105" i="9"/>
  <c r="J104" i="9"/>
  <c r="J103" i="9"/>
  <c r="J102" i="9"/>
  <c r="J101" i="9"/>
  <c r="J100" i="9"/>
  <c r="J99" i="9"/>
  <c r="J98" i="9"/>
  <c r="J97" i="9"/>
  <c r="J96" i="9"/>
  <c r="J140" i="9"/>
  <c r="J28" i="9"/>
  <c r="J27" i="9"/>
  <c r="J26" i="9"/>
  <c r="J25" i="9"/>
  <c r="J22" i="9"/>
  <c r="J21" i="9"/>
  <c r="J20" i="9"/>
  <c r="J19" i="9"/>
  <c r="J18" i="9"/>
  <c r="J17" i="9"/>
  <c r="J16" i="9"/>
  <c r="J15" i="9"/>
  <c r="J14" i="9"/>
  <c r="J13" i="9"/>
  <c r="J12" i="9"/>
  <c r="J11" i="9"/>
  <c r="J10" i="9"/>
  <c r="J9" i="9"/>
  <c r="J8" i="9"/>
  <c r="J7" i="9"/>
  <c r="J6" i="9"/>
  <c r="J5" i="9"/>
  <c r="J4" i="9"/>
  <c r="J3" i="9"/>
  <c r="J2" i="9"/>
  <c r="R153" i="9"/>
  <c r="S153" i="9" s="1"/>
  <c r="O30" i="9"/>
  <c r="R30" i="9" s="1"/>
  <c r="S30" i="9" s="1"/>
  <c r="O29" i="9"/>
  <c r="R29" i="9" s="1"/>
  <c r="S29" i="9" s="1"/>
  <c r="J136" i="8"/>
  <c r="J125" i="8"/>
  <c r="J124" i="8"/>
  <c r="J131" i="8"/>
  <c r="J132" i="8"/>
  <c r="J133" i="8"/>
  <c r="J134" i="8"/>
  <c r="J135" i="8"/>
  <c r="J161" i="8"/>
  <c r="J142" i="8"/>
  <c r="J141" i="8"/>
  <c r="J140" i="8"/>
  <c r="J139" i="8"/>
  <c r="J138" i="8"/>
  <c r="J137" i="8"/>
  <c r="J167" i="8"/>
  <c r="J163" i="8"/>
  <c r="J166" i="8"/>
  <c r="J165" i="8"/>
  <c r="J164" i="8"/>
  <c r="J162" i="8"/>
  <c r="J146" i="8"/>
  <c r="J160" i="8"/>
  <c r="J159" i="8"/>
  <c r="J158" i="8"/>
  <c r="J157" i="8"/>
  <c r="J156" i="8"/>
  <c r="J155" i="8"/>
  <c r="J154" i="8"/>
  <c r="J153" i="8"/>
  <c r="J152" i="8"/>
  <c r="J151" i="8"/>
  <c r="J150" i="8"/>
  <c r="J149" i="8"/>
  <c r="J148" i="8"/>
  <c r="J147" i="8"/>
  <c r="J145" i="8"/>
  <c r="J94" i="8"/>
  <c r="J93" i="8"/>
  <c r="J92" i="8"/>
  <c r="J91" i="8"/>
  <c r="J90" i="8"/>
  <c r="J89" i="8"/>
  <c r="J88" i="8"/>
  <c r="J87" i="8"/>
  <c r="J86" i="8"/>
  <c r="J85" i="8"/>
  <c r="J84" i="8"/>
  <c r="J83" i="8"/>
  <c r="J82" i="8"/>
  <c r="J81" i="8"/>
  <c r="J80" i="8"/>
  <c r="J79" i="8"/>
  <c r="J78" i="8"/>
  <c r="J77" i="8"/>
  <c r="J76" i="8"/>
  <c r="J75" i="8"/>
  <c r="J74" i="8"/>
  <c r="J73" i="8"/>
  <c r="J72" i="8"/>
  <c r="J71" i="8"/>
  <c r="J70" i="8"/>
  <c r="J69" i="8"/>
  <c r="J68" i="8"/>
  <c r="J67" i="8"/>
  <c r="J66" i="8"/>
  <c r="J65" i="8"/>
  <c r="J64" i="8"/>
  <c r="J63" i="8"/>
  <c r="J62" i="8"/>
  <c r="J61" i="8"/>
  <c r="J60" i="8"/>
  <c r="J59" i="8"/>
  <c r="J58" i="8"/>
  <c r="J57" i="8"/>
  <c r="J56" i="8"/>
  <c r="J55" i="8"/>
  <c r="J54" i="8"/>
  <c r="J53" i="8"/>
  <c r="J52" i="8"/>
  <c r="J51" i="8"/>
  <c r="J50" i="8"/>
  <c r="J49" i="8"/>
  <c r="J48" i="8"/>
  <c r="J47" i="8"/>
  <c r="J46" i="8"/>
  <c r="J45" i="8"/>
  <c r="J44" i="8"/>
  <c r="J43" i="8"/>
  <c r="J42" i="8"/>
  <c r="J41" i="8"/>
  <c r="J40" i="8"/>
  <c r="J39" i="8"/>
  <c r="J38" i="8"/>
  <c r="J37" i="8"/>
  <c r="J36" i="8"/>
  <c r="J35" i="8"/>
  <c r="J34" i="8"/>
  <c r="J33" i="8"/>
  <c r="J32" i="8"/>
  <c r="J31" i="8"/>
  <c r="J30" i="8"/>
  <c r="J29" i="8"/>
  <c r="J123" i="8"/>
  <c r="J122" i="8"/>
  <c r="J121" i="8"/>
  <c r="J120" i="8"/>
  <c r="J119" i="8"/>
  <c r="J118" i="8"/>
  <c r="J117" i="8"/>
  <c r="J116" i="8"/>
  <c r="J115" i="8"/>
  <c r="J114" i="8"/>
  <c r="J113" i="8"/>
  <c r="J112" i="8"/>
  <c r="J111" i="8"/>
  <c r="J110" i="8"/>
  <c r="J109" i="8"/>
  <c r="J108" i="8"/>
  <c r="J107" i="8"/>
  <c r="J106" i="8"/>
  <c r="J105" i="8"/>
  <c r="J104" i="8"/>
  <c r="J103" i="8"/>
  <c r="J102" i="8"/>
  <c r="J101" i="8"/>
  <c r="J100" i="8"/>
  <c r="J99" i="8"/>
  <c r="J98" i="8"/>
  <c r="J97" i="8"/>
  <c r="J96" i="8"/>
  <c r="J144" i="8"/>
  <c r="J26" i="8"/>
  <c r="J25" i="8"/>
  <c r="J24" i="8"/>
  <c r="J23" i="8"/>
  <c r="J22" i="8"/>
  <c r="J21" i="8"/>
  <c r="J20" i="8"/>
  <c r="J19" i="8"/>
  <c r="J18" i="8"/>
  <c r="J17" i="8"/>
  <c r="J16" i="8"/>
  <c r="J15" i="8"/>
  <c r="J14" i="8"/>
  <c r="J13" i="8"/>
  <c r="J12" i="8"/>
  <c r="J11" i="8"/>
  <c r="J10" i="8"/>
  <c r="J9" i="8"/>
  <c r="J8" i="8"/>
  <c r="J7" i="8"/>
  <c r="J6" i="8"/>
  <c r="J5" i="8"/>
  <c r="J4" i="8"/>
  <c r="J3" i="8"/>
  <c r="J2" i="8"/>
  <c r="O163" i="8"/>
  <c r="R163" i="8" s="1"/>
  <c r="S163" i="8" s="1"/>
  <c r="O146" i="8"/>
  <c r="R146" i="8" s="1"/>
  <c r="S146" i="8" s="1"/>
  <c r="O28" i="8"/>
  <c r="R28" i="8" s="1"/>
  <c r="S28" i="8" s="1"/>
  <c r="O27" i="8"/>
  <c r="R27" i="8" s="1"/>
  <c r="S27" i="8" s="1"/>
  <c r="O26" i="8"/>
  <c r="R26" i="8" s="1"/>
  <c r="S26" i="8" s="1"/>
  <c r="J2" i="6"/>
  <c r="J160" i="6"/>
  <c r="J139" i="6"/>
  <c r="J138" i="6"/>
  <c r="J137" i="6"/>
  <c r="J136" i="6"/>
  <c r="J135" i="6"/>
  <c r="J134" i="6"/>
  <c r="J164" i="6"/>
  <c r="J163" i="6"/>
  <c r="J162" i="6"/>
  <c r="J161" i="6"/>
  <c r="J159" i="6"/>
  <c r="J158" i="6"/>
  <c r="J157" i="6"/>
  <c r="J156" i="6"/>
  <c r="J155" i="6"/>
  <c r="J154" i="6"/>
  <c r="J153" i="6"/>
  <c r="J152" i="6"/>
  <c r="J151" i="6"/>
  <c r="J150" i="6"/>
  <c r="J149" i="6"/>
  <c r="J148" i="6"/>
  <c r="J147" i="6"/>
  <c r="J146" i="6"/>
  <c r="J145" i="6"/>
  <c r="J144" i="6"/>
  <c r="J142" i="6"/>
  <c r="J133" i="6"/>
  <c r="J132" i="6"/>
  <c r="J131" i="6"/>
  <c r="J130" i="6"/>
  <c r="J129" i="6"/>
  <c r="J128" i="6"/>
  <c r="J122" i="6"/>
  <c r="J121" i="6"/>
  <c r="J91" i="6"/>
  <c r="J90" i="6"/>
  <c r="J89" i="6"/>
  <c r="J88" i="6"/>
  <c r="J87" i="6"/>
  <c r="J86" i="6"/>
  <c r="J85" i="6"/>
  <c r="J84" i="6"/>
  <c r="J83" i="6"/>
  <c r="J82" i="6"/>
  <c r="J81" i="6"/>
  <c r="J80" i="6"/>
  <c r="J79" i="6"/>
  <c r="J78" i="6"/>
  <c r="J77" i="6"/>
  <c r="J76" i="6"/>
  <c r="J75" i="6"/>
  <c r="J74" i="6"/>
  <c r="J73" i="6"/>
  <c r="J72" i="6"/>
  <c r="J71" i="6"/>
  <c r="J70" i="6"/>
  <c r="J69" i="6"/>
  <c r="J68" i="6"/>
  <c r="J67" i="6"/>
  <c r="J66" i="6"/>
  <c r="J65" i="6"/>
  <c r="J64" i="6"/>
  <c r="J63" i="6"/>
  <c r="J62" i="6"/>
  <c r="J61" i="6"/>
  <c r="J60" i="6"/>
  <c r="J59" i="6"/>
  <c r="J58" i="6"/>
  <c r="J57" i="6"/>
  <c r="J56" i="6"/>
  <c r="J55" i="6"/>
  <c r="J54" i="6"/>
  <c r="J53" i="6"/>
  <c r="J52" i="6"/>
  <c r="J51" i="6"/>
  <c r="J50" i="6"/>
  <c r="J49" i="6"/>
  <c r="J48" i="6"/>
  <c r="J47" i="6"/>
  <c r="J46" i="6"/>
  <c r="J45" i="6"/>
  <c r="J44" i="6"/>
  <c r="J43" i="6"/>
  <c r="J42" i="6"/>
  <c r="J41" i="6"/>
  <c r="J40" i="6"/>
  <c r="J39" i="6"/>
  <c r="J38" i="6"/>
  <c r="J37" i="6"/>
  <c r="J36" i="6"/>
  <c r="J35" i="6"/>
  <c r="J34" i="6"/>
  <c r="J33" i="6"/>
  <c r="J32" i="6"/>
  <c r="J31" i="6"/>
  <c r="J30" i="6"/>
  <c r="J120" i="6"/>
  <c r="J119" i="6"/>
  <c r="J118" i="6"/>
  <c r="J117" i="6"/>
  <c r="J116" i="6"/>
  <c r="J115" i="6"/>
  <c r="J114" i="6"/>
  <c r="J113" i="6"/>
  <c r="J112" i="6"/>
  <c r="J111" i="6"/>
  <c r="J110" i="6"/>
  <c r="J109" i="6"/>
  <c r="J108" i="6"/>
  <c r="J107" i="6"/>
  <c r="J106" i="6"/>
  <c r="J105" i="6"/>
  <c r="J104" i="6"/>
  <c r="J103" i="6"/>
  <c r="J102" i="6"/>
  <c r="J101" i="6"/>
  <c r="J100" i="6"/>
  <c r="J99" i="6"/>
  <c r="J98" i="6"/>
  <c r="J97" i="6"/>
  <c r="J96" i="6"/>
  <c r="J95" i="6"/>
  <c r="J94" i="6"/>
  <c r="J93" i="6"/>
  <c r="J141" i="6"/>
  <c r="J140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J4" i="6"/>
  <c r="J3" i="6"/>
  <c r="J145" i="5" l="1"/>
  <c r="J144" i="5"/>
  <c r="J143" i="5"/>
  <c r="J13" i="4"/>
  <c r="J142" i="5"/>
  <c r="J141" i="5"/>
  <c r="J140" i="5"/>
  <c r="J139" i="5"/>
  <c r="J138" i="5"/>
  <c r="J137" i="5"/>
  <c r="J168" i="5"/>
  <c r="J164" i="5"/>
  <c r="J167" i="5"/>
  <c r="J166" i="5"/>
  <c r="J165" i="5"/>
  <c r="J163" i="5"/>
  <c r="J147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6" i="5"/>
  <c r="J133" i="5"/>
  <c r="J132" i="5"/>
  <c r="J131" i="5"/>
  <c r="J130" i="5"/>
  <c r="J129" i="5"/>
  <c r="J128" i="5"/>
  <c r="J127" i="5"/>
  <c r="J126" i="5"/>
  <c r="J125" i="5"/>
  <c r="J120" i="5"/>
  <c r="J119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9" i="5"/>
  <c r="J68" i="5"/>
  <c r="J67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118" i="5"/>
  <c r="J117" i="5"/>
  <c r="J116" i="5"/>
  <c r="J115" i="5"/>
  <c r="J114" i="5"/>
  <c r="J113" i="5"/>
  <c r="J112" i="5"/>
  <c r="J111" i="5"/>
  <c r="J110" i="5"/>
  <c r="J109" i="5"/>
  <c r="J108" i="5"/>
  <c r="J107" i="5"/>
  <c r="J106" i="5"/>
  <c r="J105" i="5"/>
  <c r="J104" i="5"/>
  <c r="J103" i="5"/>
  <c r="J102" i="5"/>
  <c r="J101" i="5"/>
  <c r="J100" i="5"/>
  <c r="J99" i="5"/>
  <c r="J98" i="5"/>
  <c r="J97" i="5"/>
  <c r="J96" i="5"/>
  <c r="J95" i="5"/>
  <c r="J94" i="5"/>
  <c r="J93" i="5"/>
  <c r="J92" i="5"/>
  <c r="J136" i="5"/>
  <c r="J135" i="5"/>
  <c r="J134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J2" i="5"/>
  <c r="J3" i="4" l="1"/>
  <c r="J4" i="4"/>
  <c r="J5" i="4"/>
  <c r="J6" i="4"/>
  <c r="J7" i="4"/>
  <c r="J8" i="4"/>
  <c r="J9" i="4"/>
  <c r="J10" i="4"/>
  <c r="J11" i="4"/>
  <c r="J12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138" i="4"/>
  <c r="J139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120" i="4"/>
  <c r="J121" i="4"/>
  <c r="J132" i="4"/>
  <c r="J133" i="4"/>
  <c r="J134" i="4"/>
  <c r="J135" i="4"/>
  <c r="J136" i="4"/>
  <c r="J137" i="4"/>
  <c r="J140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41" i="4"/>
  <c r="J156" i="4"/>
  <c r="J158" i="4"/>
  <c r="J159" i="4"/>
  <c r="J160" i="4"/>
  <c r="J157" i="4"/>
  <c r="J126" i="4"/>
  <c r="J127" i="4"/>
  <c r="J128" i="4"/>
  <c r="J129" i="4"/>
  <c r="J130" i="4"/>
  <c r="J131" i="4"/>
  <c r="O157" i="4"/>
  <c r="R157" i="4" s="1"/>
  <c r="S157" i="4" s="1"/>
  <c r="J2" i="4"/>
  <c r="J88" i="3"/>
  <c r="J81" i="3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J2" i="3"/>
  <c r="J90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3" i="1"/>
  <c r="R181" i="10"/>
  <c r="S181" i="10" s="1"/>
  <c r="R167" i="8"/>
  <c r="S167" i="8" s="1"/>
  <c r="R164" i="6"/>
  <c r="S164" i="6" s="1"/>
  <c r="R161" i="4"/>
  <c r="S161" i="4" s="1"/>
  <c r="O138" i="4"/>
  <c r="R138" i="4" s="1"/>
  <c r="S138" i="4" s="1"/>
  <c r="O139" i="4"/>
  <c r="R139" i="4" s="1"/>
  <c r="S139" i="4" s="1"/>
  <c r="O116" i="4"/>
  <c r="R116" i="4" s="1"/>
  <c r="S116" i="4" s="1"/>
  <c r="O117" i="4"/>
  <c r="R117" i="4" s="1"/>
  <c r="S117" i="4" s="1"/>
  <c r="O118" i="4"/>
  <c r="R118" i="4" s="1"/>
  <c r="S118" i="4" s="1"/>
  <c r="O119" i="4"/>
  <c r="R119" i="4" s="1"/>
  <c r="S119" i="4" s="1"/>
  <c r="R174" i="9" l="1"/>
  <c r="S174" i="9" l="1"/>
  <c r="I7" i="13" a="1"/>
  <c r="P3" i="1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tc={23F8AE6E-0F71-42A9-AB6E-91A223754C1F}</author>
    <author>tc={8B0AE5AA-4E3A-4810-A9D1-FBC5F03FF984}</author>
    <author>tc={5EC3DE73-486B-4492-9283-D142A2D18429}</author>
  </authors>
  <commentList>
    <comment ref="C394" authorId="0" shapeId="0" xr:uid="{23F8AE6E-0F71-42A9-AB6E-91A223754C1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Kod pasif
</t>
      </text>
    </comment>
    <comment ref="C395" authorId="1" shapeId="0" xr:uid="{8B0AE5AA-4E3A-4810-A9D1-FBC5F03FF984}">
      <text>
        <t>[Threaded comment]
Your version of Excel allows you to read this threaded comment; however, any edits to it will get removed if the file is opened in a newer version of Excel. Learn more: https://go.microsoft.com/fwlink/?linkid=870924
Comment:
    Kod Pasif</t>
      </text>
    </comment>
    <comment ref="C396" authorId="2" shapeId="0" xr:uid="{5EC3DE73-486B-4492-9283-D142A2D1842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Kod Pasif
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<sst xmlns="http://schemas.openxmlformats.org/spreadsheetml/2006/main" count="15316" uniqueCount="764">
  <si>
    <t>HPL 7</t>
  </si>
  <si>
    <t>No</t>
  </si>
  <si>
    <t>MALZEME ADI</t>
  </si>
  <si>
    <t>ERP KODU</t>
  </si>
  <si>
    <t>BİRİM</t>
  </si>
  <si>
    <t>MİKTAR</t>
  </si>
  <si>
    <t xml:space="preserve">Kompresör ZP36K5E-TFD </t>
  </si>
  <si>
    <t>R20KMZP036K5E</t>
  </si>
  <si>
    <t>Copeland Karter Isıtıcı ID:8561150</t>
  </si>
  <si>
    <t>4 Yollu Vana SHF-14A-46 1/2"x3/4"</t>
  </si>
  <si>
    <t>R20V144612340</t>
  </si>
  <si>
    <t>4 Yollu Vana Bobini 220V AC 4,5W Kablolu</t>
  </si>
  <si>
    <t>R27SVB2204500</t>
  </si>
  <si>
    <t>Danfoss NRV 10 s 02B1011 3/8" Check Valve</t>
  </si>
  <si>
    <t>Adet</t>
  </si>
  <si>
    <t>Danfoss Drier DML083 3/8" 023Z5040</t>
  </si>
  <si>
    <t>Danfoss Gözetleme Camı Kaynaklı SGP 10s N 3/8" 014L0182</t>
  </si>
  <si>
    <t>Danfoss Küresel Vana GBC 10s 3/8" 009L7021</t>
  </si>
  <si>
    <t>HPL 7 APHE H 2x1 50 4.3 73</t>
  </si>
  <si>
    <t>R09HPL0721504</t>
  </si>
  <si>
    <t>HPL 7 ISITICI 32x28-1/2 C S 12T 2R 615A 3P 2NC</t>
  </si>
  <si>
    <t>R063228122615</t>
  </si>
  <si>
    <t>HPL 7 CND F 32x28-12 C S 15T 4R 610A 2.4P 6NC</t>
  </si>
  <si>
    <t>HPL 7 EVP F 32x28-12 C S 15T 6R 610A 2.1P 5NC</t>
  </si>
  <si>
    <t>CAREL E2V18FSFC0 ELECTRONIC EXPANSION VALVE E2V18-F 12-12 ODF W/O STATOR</t>
  </si>
  <si>
    <t>CAREL E2VSTA0201 BIPOLAR STATOR FOR E2VB</t>
  </si>
  <si>
    <t>R27E2V0220100</t>
  </si>
  <si>
    <t xml:space="preserve">REFNOX Alçak Basınç Swtich WPS-03L059/1,7G2,7G </t>
  </si>
  <si>
    <t>R27ABS00R1737</t>
  </si>
  <si>
    <t>REFNOX Yüksek Basınç Swtich WPS-03H059/42R33R</t>
  </si>
  <si>
    <t>R27YBS00R4232</t>
  </si>
  <si>
    <t>CAREL P+500B0A000M0 PCO5+ MEDIUM, FB/BMS NO OPTO, NO USB</t>
  </si>
  <si>
    <t>R27CP50000000</t>
  </si>
  <si>
    <t>CAREL CONNECTOR P+50CON0M0</t>
  </si>
  <si>
    <t>R27C050000000</t>
  </si>
  <si>
    <t>Ekran pGD1 PGD1000FW0</t>
  </si>
  <si>
    <t>R27PGD1000FW0</t>
  </si>
  <si>
    <t>KabloS90CONN000</t>
  </si>
  <si>
    <t>R27S90CONN000</t>
  </si>
  <si>
    <t>SPKC005310 (5MT)</t>
  </si>
  <si>
    <t>R27SPKC531000</t>
  </si>
  <si>
    <t>CAREL DPDC111000 DUCTSENSOR TEMP.-10T60GR.C.</t>
  </si>
  <si>
    <t>R27DP00200309</t>
  </si>
  <si>
    <t xml:space="preserve">CAREL EVD0000E41 EVD EVOLUTION FOR CAREL VALVES (PLAN) MULTIPLE PACKAGE (10) </t>
  </si>
  <si>
    <t>R27EVD0000041</t>
  </si>
  <si>
    <t>CAREL EVDCON0021 EVD EVOLUTION, CONNECTOR KIT PACK.10PCS)</t>
  </si>
  <si>
    <t>R27EVD0000021</t>
  </si>
  <si>
    <t>CAREL E2VCAB0600 E2V SPARE PARTS CONN.&amp;CABLE OVERMOULDED ASSEMBLY 6,0M IP67</t>
  </si>
  <si>
    <t>R27E2V0600000</t>
  </si>
  <si>
    <t>CAREL SPKT00B6P0 PRESS.TRASD.0-5V</t>
  </si>
  <si>
    <t>R27CL02250001</t>
  </si>
  <si>
    <t>Alçak Basınç Trans 0-5Vdc 0-17.3bar SPKT0043P0</t>
  </si>
  <si>
    <t>R20SPKT0043R0</t>
  </si>
  <si>
    <t>LM24A-SR Damper Actuator Proportional 4nM</t>
  </si>
  <si>
    <t>DCC-LR24A-SR</t>
  </si>
  <si>
    <t>ENGİNİA SER50 C2 600X175 BOYALI DAMPER</t>
  </si>
  <si>
    <t>R27LM24ASR263</t>
  </si>
  <si>
    <t>R27000LR24ASR</t>
  </si>
  <si>
    <t>R3015-1P6-S1 3Y VANA GÖVDESİ, DN15, PN16</t>
  </si>
  <si>
    <t>R27VG30153150</t>
  </si>
  <si>
    <t>R3150600175B1</t>
  </si>
  <si>
    <t>VBS0400CTRNS - 8300100759</t>
  </si>
  <si>
    <t>BAKIR BORU Q19 (3/4")-1 MM</t>
  </si>
  <si>
    <t>BAKIR BORU Q22 (7/8")-1,5 MM</t>
  </si>
  <si>
    <t>BAKIR TE 3/8"-3/8"-3/8"</t>
  </si>
  <si>
    <t>GAZ R410 (11.3 KG/TÜP)</t>
  </si>
  <si>
    <t>CRYOLANT RB 32 ESTER YAG</t>
  </si>
  <si>
    <t>BAKIR REDUKSIYON 12x10</t>
  </si>
  <si>
    <t>Kauçuk Kelepçe 22 mm</t>
  </si>
  <si>
    <t>BAKIR KAYNAK TELİ</t>
  </si>
  <si>
    <t>BAKIR BORU Q12 (1/2")-1 MM</t>
  </si>
  <si>
    <t>BAKIR BORU 1/4"</t>
  </si>
  <si>
    <t>BAKIR BORU Q16 (5/8")-1 MM</t>
  </si>
  <si>
    <t>R20BBQ1900000</t>
  </si>
  <si>
    <t>R20BBQ2200000</t>
  </si>
  <si>
    <t>R20BR10000000</t>
  </si>
  <si>
    <t>R20BT00383838</t>
  </si>
  <si>
    <t>R20GR41000000</t>
  </si>
  <si>
    <t>R20KY0RB32001</t>
  </si>
  <si>
    <t>R20MK00001210</t>
  </si>
  <si>
    <t>R21RK32000002</t>
  </si>
  <si>
    <t>R20BAKIRKT001</t>
  </si>
  <si>
    <t>R20BBQ1200000</t>
  </si>
  <si>
    <t>R20BBQ1400000</t>
  </si>
  <si>
    <t>R20BBQ1600000</t>
  </si>
  <si>
    <t>R10IZ90280005</t>
  </si>
  <si>
    <t>7/8" İzolasyon 9'luk</t>
  </si>
  <si>
    <t>Gümüş KAYNAK TELİ</t>
  </si>
  <si>
    <t>R20GK30000000</t>
  </si>
  <si>
    <t>BORAKS KİMYASAL ICOLD İ-FLUX 020AG1014</t>
  </si>
  <si>
    <t>30X30 GALVANİZ KUTU PROFİL</t>
  </si>
  <si>
    <t>R02KP13300000</t>
  </si>
  <si>
    <t>30X50 GALVANİZ KUTU PROFİL</t>
  </si>
  <si>
    <t>R02KP13500000</t>
  </si>
  <si>
    <t>30X60 GALVANİZ KUTU PROFİL</t>
  </si>
  <si>
    <t>R02KP13600000</t>
  </si>
  <si>
    <t>2.00MM 275 gr GALVANİZLİ SAC</t>
  </si>
  <si>
    <t>R01GL20000275</t>
  </si>
  <si>
    <t>0,9 MM 275 gr GALVANİZLİ SAC</t>
  </si>
  <si>
    <t>R01GL09000275</t>
  </si>
  <si>
    <t>1 MM PASLANMAZ SAC</t>
  </si>
  <si>
    <t>R01PS10100002</t>
  </si>
  <si>
    <t>1,2 MM 275 gr RAL7040 Ç.TARAF BOYALI SAC</t>
  </si>
  <si>
    <t>R01BY12704275</t>
  </si>
  <si>
    <t>1,0 MM 275 gr RAL 7040 BOYALI SAC</t>
  </si>
  <si>
    <t>R01BY17040275</t>
  </si>
  <si>
    <t>30X30_KOSE_BAGLANTI</t>
  </si>
  <si>
    <t>R03KK03000000</t>
  </si>
  <si>
    <t>30X60_KOSE_BAGLANTI</t>
  </si>
  <si>
    <t>R03KK06000000</t>
  </si>
  <si>
    <t>FL-NG Panel Çıtası Siyah</t>
  </si>
  <si>
    <t>R04NFLPVCPC0S</t>
  </si>
  <si>
    <t>FL-NG Panel Köşe Siyah</t>
  </si>
  <si>
    <t>R04NFLPVCPKPS</t>
  </si>
  <si>
    <t>Siyah Hijyenline Servis Çıtası (626979)</t>
  </si>
  <si>
    <t>R04CT01H0000S</t>
  </si>
  <si>
    <t>Kilitsiz Klimaflex Kapı Kolu</t>
  </si>
  <si>
    <t>R19KK2651400</t>
  </si>
  <si>
    <t>M6 ALTIGEN PERÇİN SOMUN TAM AKB</t>
  </si>
  <si>
    <t>R160TAKB0PSM6</t>
  </si>
  <si>
    <t>M6 BAKALİT BAŞLI CİVATA</t>
  </si>
  <si>
    <t>R16C0M6010000</t>
  </si>
  <si>
    <t>KABLO GECIS LASTIGI</t>
  </si>
  <si>
    <t>R21GR12000002</t>
  </si>
  <si>
    <t>PG_11 RAKOR</t>
  </si>
  <si>
    <t>R21PG11000000</t>
  </si>
  <si>
    <t>PG_16 RAKOR</t>
  </si>
  <si>
    <t>R21PG16000000</t>
  </si>
  <si>
    <t>PG_29 RAKOR</t>
  </si>
  <si>
    <t>R21PG29000000</t>
  </si>
  <si>
    <t>PG_42 RAKOR</t>
  </si>
  <si>
    <t>R21PG42000000</t>
  </si>
  <si>
    <t>m</t>
  </si>
  <si>
    <t>kg</t>
  </si>
  <si>
    <t>ad</t>
  </si>
  <si>
    <t>Metre</t>
  </si>
  <si>
    <t>Kg</t>
  </si>
  <si>
    <t>COMPACT F7 FİLTRE 450x304x98</t>
  </si>
  <si>
    <t>R17F745030498</t>
  </si>
  <si>
    <t>COMPACT F7 FİLTRE 450x457x98</t>
  </si>
  <si>
    <t>R17F745045798</t>
  </si>
  <si>
    <t>COMPACT M5 FİLTRE 450x304x98</t>
  </si>
  <si>
    <t>R17M545030498</t>
  </si>
  <si>
    <t>COMPACT M5 FİLTRE 450x457x98</t>
  </si>
  <si>
    <t>R17M545045798</t>
  </si>
  <si>
    <t>S-TG-K3/PT1000/4,0 K.Tipi Sıc. Sensörü </t>
  </si>
  <si>
    <t>FT30 Donma Termostatı (Otomatik Reset)</t>
  </si>
  <si>
    <t>KAPI SWİTCHİ (XCKP2145P16)</t>
  </si>
  <si>
    <t>R27SS20000026</t>
  </si>
  <si>
    <t>R27DT30000003</t>
  </si>
  <si>
    <t>HPL 11</t>
  </si>
  <si>
    <t>Copeland Karter Isıtıcı ID:8561105</t>
  </si>
  <si>
    <t>Danfoss Drier DML164 1/2" 023Z5044</t>
  </si>
  <si>
    <t>Danfoss NRV 12 s 020B1012 1/2" Check Valve</t>
  </si>
  <si>
    <t>Danfoss Gözetleme Camı Kaynaklı SGP 12s N 1/2" 014L0183</t>
  </si>
  <si>
    <t>Danfoss Küresel Vana GBC 12s 1/2" 009L7022</t>
  </si>
  <si>
    <t>KAYA YÜNÜ 50MM-70KG/M3</t>
  </si>
  <si>
    <t>R10YN17000002</t>
  </si>
  <si>
    <t>BAKIR Q12 Boru (1/2") -1 mm</t>
  </si>
  <si>
    <t>BAKIR Q16 Boru (5/8") -1 mm</t>
  </si>
  <si>
    <t>BAKIR Q19 Boru (3/4") -1 mm</t>
  </si>
  <si>
    <t>BAKIR Q22 Boru (7/8") - 1,5 mm</t>
  </si>
  <si>
    <t>BAKIR DİRSEK 3/4" (19 MM)</t>
  </si>
  <si>
    <t>BAKIR REDÜKSİYON 16X12</t>
  </si>
  <si>
    <t>BAKIR TE 1/2"-1/2"-1/2"</t>
  </si>
  <si>
    <t>R20BD34000000</t>
  </si>
  <si>
    <t>R20BR16X12000</t>
  </si>
  <si>
    <t>R20BT00121212</t>
  </si>
  <si>
    <t>HPL 11 APHE H 2x1 50 4.8 103</t>
  </si>
  <si>
    <t>R09HPL1125048</t>
  </si>
  <si>
    <t>ISITICI F 32x28-12 C S 12T 2R 920A 3P 3NC</t>
  </si>
  <si>
    <t>R063228122920</t>
  </si>
  <si>
    <t>KONDENSER F 32x28-12 C S 15T 6R 915A 2.1P 5NC</t>
  </si>
  <si>
    <t>EVAPARATÖR F 32x28-12 C S 15T 4R 915A 2.4P 6NC</t>
  </si>
  <si>
    <t>CAREL E2V24FSFC0 ELECTRONIC EXPANSION VALVE E2V24-F 12-12 ODF W/O STATOR</t>
  </si>
  <si>
    <t>8300100054-VBH0355CTPMS/S</t>
  </si>
  <si>
    <t>R058300100054</t>
  </si>
  <si>
    <t>ENGİNİA SER50 C2 900X175 PAINTED  FRAME- Stainless Steel Shaft</t>
  </si>
  <si>
    <t>R3150900175B1</t>
  </si>
  <si>
    <t>HPL 15</t>
  </si>
  <si>
    <t>Kompresör ZP91KCE-TFD 3/4x7/8</t>
  </si>
  <si>
    <t>R20KMZP053400</t>
  </si>
  <si>
    <t>4 Yollu Vana SHF-20A-67 3/4"x7/8"</t>
  </si>
  <si>
    <t>Danfoss NRV 16 s 020B1018 5/8" Check Valve</t>
  </si>
  <si>
    <t>Danfoss Drier DML165 5/8" 023Z5045</t>
  </si>
  <si>
    <t>Danfoss Gözetleme Camı Kaynaklı SGP 16s N 5/8" 014L0145</t>
  </si>
  <si>
    <t>Danfoss Küresel Vana GBC 16s 5/8" 009L7023</t>
  </si>
  <si>
    <t>HPL 15 APHE H 2x1 50 4.8 134</t>
  </si>
  <si>
    <t>R09HPL1525481</t>
  </si>
  <si>
    <t>ISITICI F 32x28-12 C S 12T 2R 1220A 3P 4NC</t>
  </si>
  <si>
    <t>KONDENSER F 32x28-12 C S 15T 6R 1210A 2.1P 5NC</t>
  </si>
  <si>
    <t>EVAPARATÖR F 32x28-12 C S 15T 4R 1210A 2.4P 6NC</t>
  </si>
  <si>
    <t>-</t>
  </si>
  <si>
    <t>R27VG30153151</t>
  </si>
  <si>
    <t>ENGİNİA SER50 C2 1200X175 PAINTED  FRAME- Stainless Steel Shaft</t>
  </si>
  <si>
    <t>R3150120175B1</t>
  </si>
  <si>
    <t>CAREL E2V30FSFC0 ELECTRONIC EXPANSION VALVE E2V30-F 12-12 ODF W/O STATOR</t>
  </si>
  <si>
    <t>BAKIR DIRSEK 7/8" (22 MM)</t>
  </si>
  <si>
    <t>BAKIR TE 5/8"-5/8"-5/8"</t>
  </si>
  <si>
    <t>BAKIR REDUKSIYON 22x12</t>
  </si>
  <si>
    <t>R20BD20108000</t>
  </si>
  <si>
    <t>R20BT00585858</t>
  </si>
  <si>
    <t>R20MK00002212</t>
  </si>
  <si>
    <t>Kompresör ZP104 KCE TFD 455</t>
  </si>
  <si>
    <t>R20KMZP104001</t>
  </si>
  <si>
    <t>Copeland Karter Isıtıcı ID:8622731</t>
  </si>
  <si>
    <t>Danfoss Drier DML305 5/8" 023Z0051</t>
  </si>
  <si>
    <t>HPL 22 H2E0850-1002-060-2EDB-2-0-1-1222</t>
  </si>
  <si>
    <t>R09H2E8501002</t>
  </si>
  <si>
    <t>KONDENSER F 25x22-3/8 L G 32T 3R 1080A 2.5P 12NC</t>
  </si>
  <si>
    <t>EVAPARATÖR F 32x28-12 C S 18T 6R 1065A 2P 6NC</t>
  </si>
  <si>
    <t>PANEL FİLTRE M5 - 592-592-48</t>
  </si>
  <si>
    <t>R17PM54610610</t>
  </si>
  <si>
    <t>PANEL FİLTRE M5 - 287-592-48</t>
  </si>
  <si>
    <t>R17PM54305610</t>
  </si>
  <si>
    <t>8300100082-VBH0500CTTLS/L</t>
  </si>
  <si>
    <t>R058300100082</t>
  </si>
  <si>
    <t>R3020-4-S2 3 YOLLU VANA GÖVDESİ, DN20, PN16</t>
  </si>
  <si>
    <t>R27VG30203200</t>
  </si>
  <si>
    <t>NM24ASR 10Nm Damper Motoru ORANSAL</t>
  </si>
  <si>
    <t>R27DM326002SR</t>
  </si>
  <si>
    <t>0,8 mm Z275 DX51 RAL7035 Boyalı Rulo Sac</t>
  </si>
  <si>
    <t>R01B080000001</t>
  </si>
  <si>
    <t>0,8 MM 275 gr GALVANİZLİ SAC</t>
  </si>
  <si>
    <t>R01GL10000278</t>
  </si>
  <si>
    <t>1.50 MM Z275 DX51 Plaka Sac</t>
  </si>
  <si>
    <t>R01GL15000275</t>
  </si>
  <si>
    <t>2.00MM 275 gr GALVANIZLI SAC</t>
  </si>
  <si>
    <t>3,0 MM 275 gr GALVANIZLI SAC</t>
  </si>
  <si>
    <t>R01GL30000275</t>
  </si>
  <si>
    <t>1.20 mm Z275 DX51 Plaka Sac</t>
  </si>
  <si>
    <t>R01GL36000275</t>
  </si>
  <si>
    <t>4 MM GALVANİZ SAC - BoyalıSac</t>
  </si>
  <si>
    <t>R01GL40000000</t>
  </si>
  <si>
    <t>0,80 MM PASLANMAZ SAC</t>
  </si>
  <si>
    <t>R01PS08000000</t>
  </si>
  <si>
    <t>R02KP13315000</t>
  </si>
  <si>
    <t>R02KP13515000</t>
  </si>
  <si>
    <t>30X60 GALVANIZ KUTU PROFIL</t>
  </si>
  <si>
    <t>R02KP13615000</t>
  </si>
  <si>
    <t>ELOKSALLI DAMPER KANADI 17009</t>
  </si>
  <si>
    <t>R03DP0201000E</t>
  </si>
  <si>
    <t>ELOKSAL DAMPER KISA KENAR 17006</t>
  </si>
  <si>
    <t>R03DP0203000E</t>
  </si>
  <si>
    <t>ELOKSAL DAMPER UZUN KENAR 17005</t>
  </si>
  <si>
    <t>R03DP0204000E</t>
  </si>
  <si>
    <t>FLANS BAGLANTI PROF 25MM 17007</t>
  </si>
  <si>
    <t>R03FP25000001</t>
  </si>
  <si>
    <t>HMD Siyah Hijyenline Servis Cıtası (626979-003)</t>
  </si>
  <si>
    <t>R04CT02H0000S</t>
  </si>
  <si>
    <t>50X60 MM 3MM CTP/KOMPOZİT PROFIL</t>
  </si>
  <si>
    <t>R04CTP5060003</t>
  </si>
  <si>
    <t>DAMLA TUTUCU 613992-001 RAU-PP1381</t>
  </si>
  <si>
    <t>R04DT61300000</t>
  </si>
  <si>
    <t>20X30-2 MM PVC PROFİL SİYAH</t>
  </si>
  <si>
    <t>R04FB1100000S</t>
  </si>
  <si>
    <t>FL-NG Bombe Çıtası Siyah - Panel</t>
  </si>
  <si>
    <t>R04NFLPVCBC0S</t>
  </si>
  <si>
    <t>KAYAYÜNÜ 50MM-70KG/M3</t>
  </si>
  <si>
    <t>25MM CAM TÜLÜ KAPLI CAM YÜNÜ</t>
  </si>
  <si>
    <t>R10YN22500000</t>
  </si>
  <si>
    <t>KSM 35x8 PC SARI ETIKET- (AHU)</t>
  </si>
  <si>
    <t>R12KE35080000</t>
  </si>
  <si>
    <t>R12KS40000000</t>
  </si>
  <si>
    <t>506002 D:50 GÖZETLEME CAMI (SIGHT GLASS)</t>
  </si>
  <si>
    <t>R19GC45050001</t>
  </si>
  <si>
    <t>SL-KİLİTLİ KAPI KOLU (1091-U72)</t>
  </si>
  <si>
    <t>R19KK40000011</t>
  </si>
  <si>
    <t>HİJYEN KAPI KOLU 130MM (1091-42)</t>
  </si>
  <si>
    <t>R19KK40000012</t>
  </si>
  <si>
    <t>Plate Exchanger Damper Mil</t>
  </si>
  <si>
    <t>R19PM00000035</t>
  </si>
  <si>
    <t>60 LIK PLASTIK KARKAS KÖSE</t>
  </si>
  <si>
    <t>R19PPK0000002</t>
  </si>
  <si>
    <t>TOPLU SİFON-SIPHON</t>
  </si>
  <si>
    <t>R19TS40000000</t>
  </si>
  <si>
    <t>BAKIR BORU Q16 (5/8'')-1 mm</t>
  </si>
  <si>
    <t>BAKIR BORU Q19 (3/4'') - 1 mm</t>
  </si>
  <si>
    <t>BAKIR BORU Q22 (7/8'')-1,5 mm</t>
  </si>
  <si>
    <t>5/8'' Bakır Dirsek</t>
  </si>
  <si>
    <t>R20BD58000000</t>
  </si>
  <si>
    <t>BAKIR REDÜKSİYON 28x22</t>
  </si>
  <si>
    <t>R20BR28X22000</t>
  </si>
  <si>
    <t>22x18 Bakır Redüksiyon</t>
  </si>
  <si>
    <t>R20MK00002818</t>
  </si>
  <si>
    <t>R27SR70000023</t>
  </si>
  <si>
    <t>HPL 22</t>
  </si>
  <si>
    <t>Kompresör ZP122KCE-TFD 7/8x11/8</t>
  </si>
  <si>
    <t>R20KMZP122003</t>
  </si>
  <si>
    <t>HPL 32 H2E0850-1250-060-2EDB-2-2-1-1528</t>
  </si>
  <si>
    <t>R09H2E8501250</t>
  </si>
  <si>
    <t>KONDENSER F 25x22-3/8 L G 32T 3R 1380A 3.2P 12NC</t>
  </si>
  <si>
    <t>EVAPARATÖR F 32x28-12 C S 18T 6R 1360A 2.1P 9NC</t>
  </si>
  <si>
    <t>8300100101-VBH0560CTTRS/L</t>
  </si>
  <si>
    <t>R058300100101</t>
  </si>
  <si>
    <t>F7 TORBA FİLTRE 287X287X300 GENERAL</t>
  </si>
  <si>
    <t>R17F72230000G</t>
  </si>
  <si>
    <t>PANEL FİLTRE M5 - 287-287-48</t>
  </si>
  <si>
    <t>R17PM54305305</t>
  </si>
  <si>
    <t>SM24A-SR Damper Actuator Proportional 20nM</t>
  </si>
  <si>
    <t>R27SM24ASR274</t>
  </si>
  <si>
    <t>R3025-6P3-S2 3 YOLLU VANA GÖVDESİ, DN25, PN16</t>
  </si>
  <si>
    <t>R27VG30253250</t>
  </si>
  <si>
    <t>1,2 MM 275 GR RAL7035 C.TARAF BOYALI SAC</t>
  </si>
  <si>
    <t>R01BY27570400</t>
  </si>
  <si>
    <t>3.00 mm Z275 DX51 Plaka Sac</t>
  </si>
  <si>
    <t>POLIURETAN PLAKA 50mm</t>
  </si>
  <si>
    <t>R10PP24002050</t>
  </si>
  <si>
    <t>KEL-DP 50/9 A</t>
  </si>
  <si>
    <t>R12DP509A0010</t>
  </si>
  <si>
    <t>KSM 35x8 PC SARI ETIKET- (BOŞ)</t>
  </si>
  <si>
    <t>Panic Button</t>
  </si>
  <si>
    <t>R12PB63700001</t>
  </si>
  <si>
    <t>EPDMD CONTA 1X30</t>
  </si>
  <si>
    <t>R21CN01030000</t>
  </si>
  <si>
    <t>EPDMD CONTA 3X55</t>
  </si>
  <si>
    <t>R21CN03055000</t>
  </si>
  <si>
    <t>EPDMD CONTA 5X55</t>
  </si>
  <si>
    <t>R21CN05055000</t>
  </si>
  <si>
    <t>BATARYA CONTASI (MAVI)</t>
  </si>
  <si>
    <t>R21CN41000000</t>
  </si>
  <si>
    <t>DAMPER KANAT CONTASI  M414</t>
  </si>
  <si>
    <t>R21CN41400000</t>
  </si>
  <si>
    <t>BATARYA CONTASI (KIRMIZI)</t>
  </si>
  <si>
    <t>R21CN42000000</t>
  </si>
  <si>
    <t>EPDM-D CONTA 3X25</t>
  </si>
  <si>
    <t>R21CN80000003</t>
  </si>
  <si>
    <t>DAMPER  TAKIMI DISLI</t>
  </si>
  <si>
    <t>R21D1TK000011</t>
  </si>
  <si>
    <t>DAMPER  TAKIMI SAG</t>
  </si>
  <si>
    <t>R21D1TK000012</t>
  </si>
  <si>
    <t>DAMPER  TAKIMI SOL</t>
  </si>
  <si>
    <t>R21D1TK000013</t>
  </si>
  <si>
    <t>DAMPER  TAKIMI  KAMA</t>
  </si>
  <si>
    <t>R21D1TK000015</t>
  </si>
  <si>
    <t>DAMPER  TAKIMI BURC</t>
  </si>
  <si>
    <t>R21D1TK000016</t>
  </si>
  <si>
    <t>30 LUK KARKAS KÖŞE</t>
  </si>
  <si>
    <t>R21KK03000000</t>
  </si>
  <si>
    <t>60 LIK KARKAS KÖŞE</t>
  </si>
  <si>
    <t>R21KK06000000</t>
  </si>
  <si>
    <t>FLNG Panel Köşe Siyah</t>
  </si>
  <si>
    <t>R21NFLPVCPKPS</t>
  </si>
  <si>
    <t>KOSE BIRLESTIRME PARCASI UCGEN</t>
  </si>
  <si>
    <t>R21PK10000001</t>
  </si>
  <si>
    <t>SIKAFLEX-221 RLT STE.BLACK/12CTR300</t>
  </si>
  <si>
    <t>R21SF20000002</t>
  </si>
  <si>
    <t>DAMLA TUTUCU CEKME KOLU(086)</t>
  </si>
  <si>
    <t>R21TK03000003</t>
  </si>
  <si>
    <t>PASLANMAZ DRENAJ BORUSU 1 1/4</t>
  </si>
  <si>
    <t>R21TP1600PLMZ</t>
  </si>
  <si>
    <t>Taban Tavası Drenaj Dirseği Paslanmaz 1 1/4</t>
  </si>
  <si>
    <t>R21TTVAP00114</t>
  </si>
  <si>
    <t>BAKIR BORU Q28 (1 1/8'')-1,5 mm</t>
  </si>
  <si>
    <t>R20BBQ2800000</t>
  </si>
  <si>
    <t>1 1/8 İzolasyon 9'luk</t>
  </si>
  <si>
    <t>R10IZ90280006</t>
  </si>
  <si>
    <t>HPL 32</t>
  </si>
  <si>
    <t>Kompresör ZP182KCE-TFD 7/8x13/8</t>
  </si>
  <si>
    <t>R20KMZP182004</t>
  </si>
  <si>
    <t>Danfoss Drier DML306 3/4" 023Z0193</t>
  </si>
  <si>
    <t>Danfoss Gözetleme Camı Kaynaklı SGP 19s N 3/4" 014L0185</t>
  </si>
  <si>
    <t>Danfoss Küresel Vana GBC 22s 7/8" 009L7025</t>
  </si>
  <si>
    <t>HPL 42 H2E0850-1506-060-2EDB-2-2-1-1834</t>
  </si>
  <si>
    <t>R09PLI4201834</t>
  </si>
  <si>
    <t>KONDENSER F 25x22-3/8 L G 32T 3R 1690A 2.8P 12NC</t>
  </si>
  <si>
    <t>EVAPARATÖR F 32x28-12 C S 18T 6R 1665A 2P 9NC</t>
  </si>
  <si>
    <t>CAREL E2V35FSMC0 ELECTRONIC EXPANSION VALVE E2V35-F 16-16 (5/8"-5/8") ODF W/O STATOR</t>
  </si>
  <si>
    <t>8300100043-VBH0450CTTLS/L</t>
  </si>
  <si>
    <t>R058300100043</t>
  </si>
  <si>
    <t>ELOKSALLI DAMPER ARAKAYIT 17008</t>
  </si>
  <si>
    <t>R03DP0202000E</t>
  </si>
  <si>
    <t>5/8'' İzolasyon 9'luk</t>
  </si>
  <si>
    <t>R10IZ90280003</t>
  </si>
  <si>
    <t>1 3/8 Izolasyon 9luk</t>
  </si>
  <si>
    <t>R10IZ90280007</t>
  </si>
  <si>
    <t>BAKIR REDÜKSİYON 28X16</t>
  </si>
  <si>
    <t>R20BR28X16000</t>
  </si>
  <si>
    <t>BAKIR REDÜKSİYON 35X28</t>
  </si>
  <si>
    <t>R20BR35X28000</t>
  </si>
  <si>
    <t>HPL 42</t>
  </si>
  <si>
    <t>Kompresör ZP 233 KZE - TED</t>
  </si>
  <si>
    <t>Danfoss Drier DML 307S 7/8" 023Z0071</t>
  </si>
  <si>
    <t>Danfoss Gözetleme Camı Kaynaklı SGP 22s N 7/8" 014L0186</t>
  </si>
  <si>
    <t>HPL 53 H2E0850-1506-060-2EDB-2-2-1-1834</t>
  </si>
  <si>
    <t>R09PLI5301834</t>
  </si>
  <si>
    <t>KONDENSER F 25x22-3/8 L G 38T 3R 1675A 2.5P 19NC</t>
  </si>
  <si>
    <t>EVAPARATÖR F 32x28-12 C S 24T 6R 1660A 2P 12NC</t>
  </si>
  <si>
    <t>CAREL E3V45BWRC1 E3V45B 7/8"-7/8" ODF W/O ELECTRICAL COIL (10)</t>
  </si>
  <si>
    <t xml:space="preserve">CAREL E3VSTA0201 E3V SPARE PARTS STATOR (COIL) FOR E3V* </t>
  </si>
  <si>
    <t>8300100068-VBH0500CTTRS/L</t>
  </si>
  <si>
    <t>R058300100068</t>
  </si>
  <si>
    <t>R3025-6P3-S2 3 YOLLU VANA GOVDESI, DN25,</t>
  </si>
  <si>
    <t>0,80 MM 275 gr GALVANİZLİ SAC</t>
  </si>
  <si>
    <t>DAMLA TUTUCU TARAĞI</t>
  </si>
  <si>
    <t>R21DT03000003</t>
  </si>
  <si>
    <t>SIKAFLEX-221 BLACK/12CTR300</t>
  </si>
  <si>
    <t>R21SF20000003</t>
  </si>
  <si>
    <t>BAKIR BORU Q35 (1 3/8'')-1,5 mm</t>
  </si>
  <si>
    <t>R20BBQ3500000</t>
  </si>
  <si>
    <t>7/8'' Bakır Dirsek</t>
  </si>
  <si>
    <t>BAKIR REDÜKSİYON 28X22</t>
  </si>
  <si>
    <t>1 5/8 İzolasyon 9'luk</t>
  </si>
  <si>
    <t>R10IZ90280009</t>
  </si>
  <si>
    <t>HPL 53</t>
  </si>
  <si>
    <t>HPL 64</t>
  </si>
  <si>
    <t xml:space="preserve">Kompresör ZP 293 KCE-TED </t>
  </si>
  <si>
    <t>Copeland Karter Isıtıcı ID:8062653</t>
  </si>
  <si>
    <t>Danfoss Drier DML 419S 1 1/8" 023Z0114</t>
  </si>
  <si>
    <t>Danfoss Gözetleme Camı Kaynaklı SGP 22s N 1 1/8" 014L0187</t>
  </si>
  <si>
    <t>Danfoss Küresel Vana GBC 28s 1 1/8" 009L7026</t>
  </si>
  <si>
    <t>HPL 64 H2E1000-1762-060-2EDB-2-2-1-2140</t>
  </si>
  <si>
    <t>R09H2E0602140</t>
  </si>
  <si>
    <t>KONDENSER F 25x22-3/8 L G 38T 3R 1980A 2.1P 19NC</t>
  </si>
  <si>
    <t>EVAPARATÖR F 32x28-12 C S 24T 8R 1900A 1.8P 24NC</t>
  </si>
  <si>
    <t>CAREL E3V55BWRC1 7/8-7/8" 4720967</t>
  </si>
  <si>
    <t>GM24A-SR Damper Motoru</t>
  </si>
  <si>
    <t>R270SM24ASR00</t>
  </si>
  <si>
    <t>R302510S2 3Yollu PN16,DN25 vana gövde</t>
  </si>
  <si>
    <t>R27SS17000030</t>
  </si>
  <si>
    <t>BAKIR BORU Q42 (1 5/8")-1,5 MM</t>
  </si>
  <si>
    <t>R20BBQ4200000</t>
  </si>
  <si>
    <t>1.2 MM 275 GR RAL7035 C.TARAF BOYALI SAC</t>
  </si>
  <si>
    <t>3,0 MM 275 gr GALVANİZLİ SAC</t>
  </si>
  <si>
    <t>1,20MM 275 gr GALVANİZLİ SAC</t>
  </si>
  <si>
    <t>KSM 35x8 PC SARI ETIKET (HPL)</t>
  </si>
  <si>
    <t>R12KE35080001</t>
  </si>
  <si>
    <t>HPL 90</t>
  </si>
  <si>
    <t>Kompresör ZP385KCE-TWD 15/8x13/8</t>
  </si>
  <si>
    <t>HPL 90 H2E1400-1752-060-2EDB-2-3-1-2140</t>
  </si>
  <si>
    <t>R09H2E0601752</t>
  </si>
  <si>
    <t>KONDENSER F 25x22-3/8 L G 58T 3R 1980A 2.1P 29NC</t>
  </si>
  <si>
    <t>EVAPARATÖR F 32x28-12 C S 45T 2R 1955A 2.8P 15NC</t>
  </si>
  <si>
    <t xml:space="preserve">CAREL E3V55SSR10 E3V-55 SMART 18-22 ODF W/O SIGHT GLASS </t>
  </si>
  <si>
    <t>NR24A-SR Belimo Vana Gövdesi</t>
  </si>
  <si>
    <t>R27NR24ASR001</t>
  </si>
  <si>
    <t>R303216S3 3Yollu, PN16, DN32 Vana</t>
  </si>
  <si>
    <t>R27VN50000022</t>
  </si>
  <si>
    <t>1,20MM 275 gr GALVANIZLI SAC</t>
  </si>
  <si>
    <t>4.00 mm Z275 DX51 Plaka Sac</t>
  </si>
  <si>
    <t>7/8'' Bakır Boru</t>
  </si>
  <si>
    <t>1 1/8'' Bakır Boru</t>
  </si>
  <si>
    <t>1 3/8'' Bakır Boru</t>
  </si>
  <si>
    <t>BAKIR REDÜKSİYON 42X35</t>
  </si>
  <si>
    <t>R20BR42X35000</t>
  </si>
  <si>
    <t>BAKIR BORU Q28 (1 1/8")-1,5 MM</t>
  </si>
  <si>
    <t>BAKIR BORU Q35 (1 3/8")-1,5 MM</t>
  </si>
  <si>
    <t>ROTALOCK ADAPTER FEMALE SRVKBA118ST134M-WTH-NUT 1 3/4” ROT. – 1 1/8” SOLDER</t>
  </si>
  <si>
    <t>R20RAM13418N1</t>
  </si>
  <si>
    <t>ROTALOCK ADAPTER MALE SRVKBA118MS134 1 3/4” ROT. – 1 1/8” SOLDER</t>
  </si>
  <si>
    <t>R20RAM13418R1</t>
  </si>
  <si>
    <t>ROTALOCK ADAPTER MALE SRVKBA158ST214 2 1/4" ROT. – 1 5/8” SOLDER</t>
  </si>
  <si>
    <t>R20RAM15818N1</t>
  </si>
  <si>
    <t>ROTALOCK ADAPTER FEMALE SRVKBA158ST214-WTH-NUT 2 1/4" 1 5/8" SOLDER</t>
  </si>
  <si>
    <t>R20RAM15828N1</t>
  </si>
  <si>
    <t>ROTALOCK ADAPTER FEMALE 020AA1733 ICRA 1 3/4” - 35</t>
  </si>
  <si>
    <t>R20RAM0AA1733</t>
  </si>
  <si>
    <t>ROTALOCK ADAPTER MALE 020AA1776 ICOA 35 - 1 3/4”</t>
  </si>
  <si>
    <t>R20RAM0AA1776</t>
  </si>
  <si>
    <t>PANEL FİLTRE G4 - 592-592-48</t>
  </si>
  <si>
    <t>R17G4P5959048</t>
  </si>
  <si>
    <t>PANEL FİLTRE G4 - 287-592-48</t>
  </si>
  <si>
    <t>R17G4P2859048</t>
  </si>
  <si>
    <t>F7 TORBA FİLTRE 592X592X300 GENERAL</t>
  </si>
  <si>
    <t>R17F75530000G</t>
  </si>
  <si>
    <t>F7 TORBA FİLTRE 287X592X300 GENERAL</t>
  </si>
  <si>
    <t>R17F72530000G</t>
  </si>
  <si>
    <t>PANEL FİLTRE G4 - 287-287-48</t>
  </si>
  <si>
    <t>R17G4P2828048</t>
  </si>
  <si>
    <t>3/4'' İzolasyon 9'luk</t>
  </si>
  <si>
    <t>R10IZ90280004</t>
  </si>
  <si>
    <t>3/8'' İzolasyon 9'luk</t>
  </si>
  <si>
    <t>R10IZ90280008</t>
  </si>
  <si>
    <t>HPL</t>
  </si>
  <si>
    <t>HPL22SOG32x28-1/2CS26T4R1030A2.1P26NC</t>
  </si>
  <si>
    <t>R06HPL2200004</t>
  </si>
  <si>
    <t>HİJYEN MENTEŞE (1054-U5)</t>
  </si>
  <si>
    <t>R19MT40000012</t>
  </si>
  <si>
    <t>SOĞUTUCU BATARYA</t>
  </si>
  <si>
    <t>R304016S3 3Y VANA GOVDESI, DN40, PN16</t>
  </si>
  <si>
    <t>R27VG30403400</t>
  </si>
  <si>
    <t>HPL32SOG32x28-1/2CS26T4R1320A2.1P26NC</t>
  </si>
  <si>
    <t>R06HPL3200004</t>
  </si>
  <si>
    <t>HPL64SOG F 32x28-12 C S 31T 4R 1910A 2.1P 62NC</t>
  </si>
  <si>
    <t>R3050-25-S4 3 YOLLU VANA GÖVDESİ, DN50</t>
  </si>
  <si>
    <t>R27VG30203225</t>
  </si>
  <si>
    <t>SR24A-SR Belimo Vana Gövdesi</t>
  </si>
  <si>
    <t>R27SR24ASR001</t>
  </si>
  <si>
    <t>R3050-40-S4 3 YOLLU VANA GÖVDESİ, DN50</t>
  </si>
  <si>
    <t>R27VG30203210</t>
  </si>
  <si>
    <t>R3050-58-S4 3 YOLLU VANA GÖVDESİ, DN50</t>
  </si>
  <si>
    <t>R27VG30203232</t>
  </si>
  <si>
    <t>R06HPL6400004</t>
  </si>
  <si>
    <t>Model</t>
  </si>
  <si>
    <t>Malzeme adı</t>
  </si>
  <si>
    <t>Kodu</t>
  </si>
  <si>
    <t>R20KMZP233001</t>
  </si>
  <si>
    <t>R20KMZP293001</t>
  </si>
  <si>
    <t>R20V206734780</t>
  </si>
  <si>
    <t>R20NRV10S3801</t>
  </si>
  <si>
    <t>R20NRV12S1201</t>
  </si>
  <si>
    <t>R20NRV16S5801</t>
  </si>
  <si>
    <t>R20DML0833801</t>
  </si>
  <si>
    <t>R20DML1641201</t>
  </si>
  <si>
    <t>R20DML1655801</t>
  </si>
  <si>
    <t>R20DML3055801</t>
  </si>
  <si>
    <t>R20DML3063401</t>
  </si>
  <si>
    <t>R20DML307S780</t>
  </si>
  <si>
    <t>R20DML419S118</t>
  </si>
  <si>
    <t>R20SGP10SN380</t>
  </si>
  <si>
    <t>R20SPG12SN120</t>
  </si>
  <si>
    <t>R20SGP16SN580</t>
  </si>
  <si>
    <t>R20SGP19SN340</t>
  </si>
  <si>
    <t>R20SGP22SN780</t>
  </si>
  <si>
    <t>R20SGP22SN118</t>
  </si>
  <si>
    <t>R20GBC1038702</t>
  </si>
  <si>
    <t>R20GBC1212702</t>
  </si>
  <si>
    <t>R20GBC1658723</t>
  </si>
  <si>
    <t>R20GBC2278725</t>
  </si>
  <si>
    <t>R20GBC2811876</t>
  </si>
  <si>
    <t>R063228154610</t>
  </si>
  <si>
    <t>R063228121569</t>
  </si>
  <si>
    <t>R063228121561</t>
  </si>
  <si>
    <t>R062522383230</t>
  </si>
  <si>
    <t>R062522383233</t>
  </si>
  <si>
    <t>R062522323236</t>
  </si>
  <si>
    <t>R062522383236</t>
  </si>
  <si>
    <t>R062522383238</t>
  </si>
  <si>
    <t>R062522583231</t>
  </si>
  <si>
    <t>R063228121566</t>
  </si>
  <si>
    <t>R063228121549</t>
  </si>
  <si>
    <t>R063228121541</t>
  </si>
  <si>
    <t>R063228121861</t>
  </si>
  <si>
    <t>R063228121863</t>
  </si>
  <si>
    <t>R063228122461</t>
  </si>
  <si>
    <t>R063228122481</t>
  </si>
  <si>
    <t>R063228122489</t>
  </si>
  <si>
    <t>R063228124255</t>
  </si>
  <si>
    <t>R27CRLE2V1812</t>
  </si>
  <si>
    <t>R27CRLE2V2412</t>
  </si>
  <si>
    <t>R27CRLE2V3012</t>
  </si>
  <si>
    <t>R27CRLE2V3516</t>
  </si>
  <si>
    <t>R27CRLE2V2012</t>
  </si>
  <si>
    <t>R27CRLE3V4578</t>
  </si>
  <si>
    <t>R27CRLE3V0201</t>
  </si>
  <si>
    <t>R27CRLE3V5578</t>
  </si>
  <si>
    <t>R27CRLE3V5518</t>
  </si>
  <si>
    <t>R058300100759</t>
  </si>
  <si>
    <t>R20KI08561150</t>
  </si>
  <si>
    <t>R20KI08561105</t>
  </si>
  <si>
    <t>R20KI08062653</t>
  </si>
  <si>
    <t>R063228122220</t>
  </si>
  <si>
    <t>R20KI86227331</t>
  </si>
  <si>
    <t>R3015-2P5-S1 3Y VANA GOVDESI, DN15, PN16</t>
  </si>
  <si>
    <t xml:space="preserve">DBL-205B / DTV500XOEM HAVA FARK BSNCANAHTR </t>
  </si>
  <si>
    <t>R21PR34000A34</t>
  </si>
  <si>
    <t>Pirinç Nipel 1/2"</t>
  </si>
  <si>
    <t xml:space="preserve">Pirinç Manşon 3/4"                             </t>
  </si>
  <si>
    <t>Pirinç Redüksiyon 3/4"  -  1/2"</t>
  </si>
  <si>
    <t>ISITICI F 32x28-12 C S 26T 2R 1070A 3.2P 5NC</t>
  </si>
  <si>
    <t>ISITICI F 32x28-12 C S 26T 2R 1360A 3.2P 8NC</t>
  </si>
  <si>
    <t>ISITICI F 32x28-12 C S 26T 2R 1660A 2.5P 8NC</t>
  </si>
  <si>
    <t>HPL42SOG F 32x28-12 C S 26T 4R 1620A 2.1P 36NC</t>
  </si>
  <si>
    <t>ISITICI F 32x28-12 C S 31T 2R 1640A 3.2P 13NC</t>
  </si>
  <si>
    <t>HPL53SOG F 32x28-12 C S 31T 4R 1600A 2.1P 43NC</t>
  </si>
  <si>
    <t>ISITICI F 32x28-12 C S 31T 2R 1955A 3.2P 13NC</t>
  </si>
  <si>
    <t>ISITICI F 32x28-12 C S 45T 2R 1955A 3.2P 15NC</t>
  </si>
  <si>
    <t>HPL90SOG F 32x28-12 C S 45T 4R 1890A 2.1P 62NC</t>
  </si>
  <si>
    <t>Seri</t>
  </si>
  <si>
    <t>Besleme Filtre</t>
  </si>
  <si>
    <t>Dönüş Filtre</t>
  </si>
  <si>
    <t>Yön</t>
  </si>
  <si>
    <t>R</t>
  </si>
  <si>
    <t>L</t>
  </si>
  <si>
    <t>M5/F9 FİLTRE</t>
  </si>
  <si>
    <t>TORBA FİLTRE F9 - 592-592-300</t>
  </si>
  <si>
    <t>TORBA FİLTRE F9 - 287-592-300</t>
  </si>
  <si>
    <t>R17F9T5959300</t>
  </si>
  <si>
    <t>R17F9T2859300</t>
  </si>
  <si>
    <t>TORBA FİLTRE F9 - 287-287-300</t>
  </si>
  <si>
    <t>R17F9T2828300</t>
  </si>
  <si>
    <t>Soğutucu Batarya</t>
  </si>
  <si>
    <t>BAKIR BORU Q9,52 (3/8")-1 MM</t>
  </si>
  <si>
    <t>R20BBQ9520000</t>
  </si>
  <si>
    <t>NM24A-S Damper Actuator On-Off 10nM</t>
  </si>
  <si>
    <t>R27DMNM2AS264</t>
  </si>
  <si>
    <t>SM24A-S Damper Actuator On-Off 20nM</t>
  </si>
  <si>
    <t>R27DMSM24AS25</t>
  </si>
  <si>
    <t>GM24A-S Damper Actuator On-Off 40nM</t>
  </si>
  <si>
    <t>LM24A-S Damper Actuator On-Off 5nM</t>
  </si>
  <si>
    <t xml:space="preserve">8300102231-VBH0400CTRNZ </t>
  </si>
  <si>
    <t>R058300102231</t>
  </si>
  <si>
    <t>R27QAE2130010</t>
  </si>
  <si>
    <t>QAE2130.010</t>
  </si>
  <si>
    <t>Siemens Donma Termostatı (Otomatik Reset)/ QAF65.3AR-J</t>
  </si>
  <si>
    <t>R27QAF653AR01</t>
  </si>
  <si>
    <t>R27DMLM24AS45</t>
  </si>
  <si>
    <t>R27QBM9717109</t>
  </si>
  <si>
    <t>QBM9717/109C</t>
  </si>
  <si>
    <t>Dış Ortam</t>
  </si>
  <si>
    <t>Ön Isıtıcı</t>
  </si>
  <si>
    <t>TCP/IP</t>
  </si>
  <si>
    <t>C</t>
  </si>
  <si>
    <t>Hidrolik Boru kelepçesi CM01M001P1YG1009.5</t>
  </si>
  <si>
    <t>Hidrolik Boru kelepçesi CM01M001P1YG2016.0</t>
  </si>
  <si>
    <t>R21CM10095001</t>
  </si>
  <si>
    <t>R21CM20160001</t>
  </si>
  <si>
    <t>0,8 MM 275 gr BOYALI SAC  (RAL-7035)</t>
  </si>
  <si>
    <t>R01B080000002</t>
  </si>
  <si>
    <t>0.90 mm Z275 DX51 Rulo Sac</t>
  </si>
  <si>
    <t>0.80 mm 304 Paslanmaz Nitto 9205 Pvc Kaplamalı Rulo Sac</t>
  </si>
  <si>
    <t>3.00 MM Z275 DX51 PLAKA SAC</t>
  </si>
  <si>
    <t>2.00 MM Z275 DX51 PLAKA SAC</t>
  </si>
  <si>
    <t>1.20 mm Z275 DX51 PLAKA SAC</t>
  </si>
  <si>
    <t>GVN LİKİT TANKI VLR.A.33b.02.B2.C2</t>
  </si>
  <si>
    <t>GVN LİKİT TANKI VLR.A.33b.03.B2.C2</t>
  </si>
  <si>
    <t>GVN LİKİT TANKI VLR.A.33b.04.B2.C2</t>
  </si>
  <si>
    <t>GVN EMİŞ AKÜMÜLATÖRÜ SLA.33B.19.1.7</t>
  </si>
  <si>
    <t>GVN EMİŞ AKÜMÜLATÖRÜ SLA.33B.22.3.5</t>
  </si>
  <si>
    <t>R20LTVLR02221</t>
  </si>
  <si>
    <t>R20LTVLR02322</t>
  </si>
  <si>
    <t>R20LTVLR02423</t>
  </si>
  <si>
    <t>R20SLA1917000</t>
  </si>
  <si>
    <t>R20SLA2235000</t>
  </si>
  <si>
    <t>HPL S 80x60x20 PANO KABINI</t>
  </si>
  <si>
    <t>R14HPL8060200</t>
  </si>
  <si>
    <t>HPL M 90x70x20 PANO KABINI</t>
  </si>
  <si>
    <t>R14HPL9070200</t>
  </si>
  <si>
    <t>HPL L 100x80x20 PANO KABINI</t>
  </si>
  <si>
    <t>R14HPL1008020</t>
  </si>
  <si>
    <t>R27QBM2770022</t>
  </si>
  <si>
    <t>QBM9770/109C</t>
  </si>
  <si>
    <t>QBM9710/109C</t>
  </si>
  <si>
    <t>CİVATA-BOLT 8x35</t>
  </si>
  <si>
    <t>CİVATA-BOLT M6x30 İnbus</t>
  </si>
  <si>
    <t>CONTA-GASKET 3x25</t>
  </si>
  <si>
    <t>PUL-WASHER M8</t>
  </si>
  <si>
    <t>1.0 MM Z275 DX51 Rulo Sac</t>
  </si>
  <si>
    <t>20X30 GALVANIZ KUTU PROFIL</t>
  </si>
  <si>
    <t>DIN 7504 N 4.8X38 Carbon Steel Standard Zinc Plated</t>
  </si>
  <si>
    <t>AKB SOMUN-ISO4032-8-WS13-(ZFSHL)-M8</t>
  </si>
  <si>
    <t>İMBUS CİVATA-ISO4762-8.8-IH6-(ZSML)-M8X40</t>
  </si>
  <si>
    <t>30 X 60 PLASTIK ARA KAYIT KULAGI</t>
  </si>
  <si>
    <t>POLIETILEN CONTA 1x25</t>
  </si>
  <si>
    <t>Dökme Conta Makinesi 32-3250 HVB Isosiyonat</t>
  </si>
  <si>
    <t>Dökme Conta Makinesi 32-3294-2A Poliol</t>
  </si>
  <si>
    <t>Hücre Birleştirme Zamak</t>
  </si>
  <si>
    <t>HIJYEN MENTESE (SIMSIZ)</t>
  </si>
  <si>
    <t>SOMUN-NUT M6</t>
  </si>
  <si>
    <t>SOMUN-NUT M8</t>
  </si>
  <si>
    <t>R27QBM9710109</t>
  </si>
  <si>
    <t>ÖN ISITICI BATARYA</t>
  </si>
  <si>
    <t>NEMLIYER ANAHTAR</t>
  </si>
  <si>
    <t>12W SIVA USTU LED PANEL IP65</t>
  </si>
  <si>
    <t>TRAPEZ CİVATA-HEXAGON BOLT 6,3X50</t>
  </si>
  <si>
    <t>R01GL10000275</t>
  </si>
  <si>
    <t>R02KP12300000</t>
  </si>
  <si>
    <t>R160090211417</t>
  </si>
  <si>
    <t>R16DK00000012</t>
  </si>
  <si>
    <t>R16HBV8040000</t>
  </si>
  <si>
    <t>R19KT60000001</t>
  </si>
  <si>
    <t>R21CN01025000</t>
  </si>
  <si>
    <t>R21DCMI000001</t>
  </si>
  <si>
    <t>R21DCMP000001</t>
  </si>
  <si>
    <t>R21HC70409551</t>
  </si>
  <si>
    <t>R21MNTS000000</t>
  </si>
  <si>
    <t>R12AK30000000</t>
  </si>
  <si>
    <t>R12LA6IP65001</t>
  </si>
  <si>
    <t>pCOweb SE, ethernet card IP protocols pco1000wd</t>
  </si>
  <si>
    <t>R278003303311</t>
  </si>
  <si>
    <t>cmbDeviceFlow</t>
  </si>
  <si>
    <t>cmbDirection</t>
  </si>
  <si>
    <t>cmbSupplyFilter</t>
  </si>
  <si>
    <t>cmbReturnFilter</t>
  </si>
  <si>
    <t>Eğer HPL 22...90 modeli seçilmiş, Sıcaklık 30 °C ve mutlak nem 14,3 g/kg değerinin üzerinde ise = 1 olacak. Diğer durumlarda "0" dır.</t>
  </si>
  <si>
    <t>cmbOutDoor</t>
  </si>
  <si>
    <t>Eğer HPL 22...90 modeli seçilmiş, Taze Hava giriş sıcaklığı -6 ve altı ise = 1 olacaktır. Diğer durumlarda "0" olacaktır.</t>
  </si>
  <si>
    <t>cmbBMS</t>
  </si>
  <si>
    <t>NTC Probe IP68 6 Mts. Bulb 50+100ºC NTC060WF00</t>
  </si>
  <si>
    <t>R275010020001</t>
  </si>
  <si>
    <t>HPL-11 PANO</t>
  </si>
  <si>
    <t>HPL-7 PANO</t>
  </si>
  <si>
    <t>HPL-15 PANO</t>
  </si>
  <si>
    <t>HPL-22 PANO</t>
  </si>
  <si>
    <t>HPL-32 PANO</t>
  </si>
  <si>
    <t>HPL-42 PANO</t>
  </si>
  <si>
    <t>HPL-53 PANO</t>
  </si>
  <si>
    <t>HPL-64 PANO</t>
  </si>
  <si>
    <t>HPL-90 PANO</t>
  </si>
  <si>
    <t>PNHPL11000001</t>
  </si>
  <si>
    <t>PNHPL70000001</t>
  </si>
  <si>
    <t>PNHPL15000001</t>
  </si>
  <si>
    <t>PNHPL22000001</t>
  </si>
  <si>
    <t>PNHPL32000001</t>
  </si>
  <si>
    <t>PNHPL42000001</t>
  </si>
  <si>
    <t>PNHPL53000001</t>
  </si>
  <si>
    <t>PNHPL64000001</t>
  </si>
  <si>
    <t>PNHPL90000001</t>
  </si>
  <si>
    <t>sabit</t>
  </si>
  <si>
    <t>MALZEME LİSTESİ</t>
  </si>
  <si>
    <t>xxxx</t>
  </si>
  <si>
    <t>xxx</t>
  </si>
  <si>
    <t>x</t>
  </si>
  <si>
    <t>HPL42</t>
  </si>
  <si>
    <t>GVN LİKİT TANKI VLR.A.33b.10.B4.C4</t>
  </si>
  <si>
    <t>R20LTVLR33104</t>
  </si>
  <si>
    <t>GVN LİKİT TANKI VLR.A.30b.12.B4.C4.F4</t>
  </si>
  <si>
    <t>R20LTVLR30124</t>
  </si>
  <si>
    <t>GVN LİKİT TANKI VLR.A.30b.16.B4.C4.F4</t>
  </si>
  <si>
    <t>R20LTVLR30164</t>
  </si>
  <si>
    <t>GVN LİKİT TANKI VLR.A.30b.21.B5.C4.F4</t>
  </si>
  <si>
    <t>R20LTVLR30214</t>
  </si>
  <si>
    <t>GVN ROTALOCK VALF RV.45B-1 1/8X</t>
  </si>
  <si>
    <t>GVN LİKİT TANKI V7A.33b.25.A3.A3.F4</t>
  </si>
  <si>
    <t>R20RTKVLF4511</t>
  </si>
  <si>
    <t>R20LTV7A33254</t>
  </si>
  <si>
    <t>xx</t>
  </si>
  <si>
    <t>GVN LİKİT TANKI V7A.33b.30.A3.A3.F4</t>
  </si>
  <si>
    <t>R20LTV7A33304</t>
  </si>
  <si>
    <t>FİLTRE</t>
  </si>
  <si>
    <t>ÖN ISITICI</t>
  </si>
  <si>
    <t>TCP IP</t>
  </si>
  <si>
    <t>OTOMASYON</t>
  </si>
  <si>
    <t>MEKANİK</t>
  </si>
  <si>
    <t>SOĞUTUCU BATARYA - SAĞ</t>
  </si>
  <si>
    <t>SOĞUTUCU BATARYA - SOL</t>
  </si>
  <si>
    <t>ÖN ISITICI - SAĞ</t>
  </si>
  <si>
    <t>ÖN ISITICI - SOL</t>
  </si>
  <si>
    <t>Sınıf</t>
  </si>
  <si>
    <t>HIZM000000041</t>
  </si>
  <si>
    <t>ELEKTRİK ADAM SAAT</t>
  </si>
  <si>
    <t>MONTAJ İŞÇİLİK OVERHEAD</t>
  </si>
  <si>
    <t>HIZM000000010</t>
  </si>
  <si>
    <t>Kompresör ZP61 K5E TFD 522</t>
  </si>
  <si>
    <t>R20KMZP61K001</t>
  </si>
  <si>
    <t>?</t>
  </si>
  <si>
    <t>R19KS40000000</t>
  </si>
  <si>
    <t>Birim Fiyat</t>
  </si>
  <si>
    <t>Toplam Fiyat</t>
  </si>
  <si>
    <t>BİRİM FİYAT</t>
  </si>
  <si>
    <t>TOPLAM FİYAT</t>
  </si>
  <si>
    <t>CİHAZ TOPLAM FİYAT:</t>
  </si>
  <si>
    <t>R20PR34120000</t>
  </si>
  <si>
    <t>R20PN12000000</t>
  </si>
  <si>
    <t>HPL7</t>
  </si>
  <si>
    <t>HPL11</t>
  </si>
  <si>
    <t>R kodu açılacak</t>
  </si>
  <si>
    <t xml:space="preserve">ÖN ISITICI </t>
  </si>
  <si>
    <t>MEKANİK - SAĞ</t>
  </si>
  <si>
    <t>MEKANİK - SOL</t>
  </si>
  <si>
    <t>Halogen
free 2XSLCHJB Kablo 4x2,5mm</t>
  </si>
  <si>
    <t>LIHCH
KABLO 4X0,75</t>
  </si>
  <si>
    <t>LIHCH
KABLO 2X0,75</t>
  </si>
  <si>
    <t>R12KL42500001</t>
  </si>
  <si>
    <t>R12KBNKS4X075</t>
  </si>
  <si>
    <t>R12KBLIHCH2X0</t>
  </si>
  <si>
    <t>4x6mm2 2XSLCH-JB HALOJEN FREE KABLO</t>
  </si>
  <si>
    <t>R122XSLCH4600</t>
  </si>
  <si>
    <t>4x10mm2 2XSLCH-JB HALOJEN FREE KABLO</t>
  </si>
  <si>
    <t>R122XSLCH4100</t>
  </si>
  <si>
    <t>4x16mm2 2XSLCH-JB HALOJEN FREE KABLO</t>
  </si>
  <si>
    <t>R122XSLCH4160</t>
  </si>
  <si>
    <t xml:space="preserve">SOĞUTUCU BATARYA </t>
  </si>
  <si>
    <t xml:space="preserve">AŞAĞIDAKİ ÜRÜNLER AIRCALCTAN BU ŞEKİLDE GELMEKTEDİR.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</si>
</sst>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₺&quot;* #,##0.00_);_(&quot;₺&quot;* \(#,##0.00\);_(&quot;₺&quot;* &quot;-&quot;??_);_(@_)"/>
    <numFmt numFmtId="165" formatCode="0.0"/>
    <numFmt numFmtId="166" formatCode="_-[$€-2]\ * #,##0.00_-;\-[$€-2]\ * #,##0.00_-;_-[$€-2]\ * &quot;-&quot;??_-;_-@_-"/>
    <numFmt numFmtId="167" formatCode="_-[$€-2]\ * #,##0_-;\-[$€-2]\ * #,##0_-;_-[$€-2]\ 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Daxline Offc Pro"/>
      <family val="2"/>
    </font>
    <font>
      <b/>
      <sz val="11"/>
      <color theme="1"/>
      <name val="Daxline Offc Pro"/>
      <family val="2"/>
    </font>
    <font>
      <b/>
      <sz val="12"/>
      <color theme="1"/>
      <name val="Daxline Offc Pro"/>
      <family val="2"/>
    </font>
    <font>
      <sz val="9"/>
      <color theme="1"/>
      <name val="Daxline Offc Pro"/>
      <family val="2"/>
    </font>
    <font>
      <b/>
      <i/>
      <sz val="11"/>
      <color theme="1"/>
      <name val="Daxline Offc Pro"/>
      <family val="2"/>
    </font>
    <font>
      <sz val="11"/>
      <color theme="1"/>
      <name val="Calibri Light"/>
      <family val="2"/>
      <scheme val="major"/>
    </font>
    <font>
      <sz val="11"/>
      <color rgb="FFFF0000"/>
      <name val="Daxline Offc Pro"/>
      <family val="2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Daxline Offc Pro"/>
      <family val="2"/>
    </font>
    <font>
      <sz val="8"/>
      <name val="Calibri"/>
      <family val="2"/>
      <scheme val="minor"/>
    </font>
    <font>
      <sz val="9"/>
      <color theme="1"/>
      <name val="Arial"/>
      <family val="2"/>
    </font>
    <font>
      <sz val="24"/>
      <color theme="1"/>
      <name val="Calibri Light"/>
      <family val="2"/>
      <scheme val="major"/>
    </font>
    <font>
      <sz val="24"/>
      <color theme="0"/>
      <name val="Calibri Light"/>
      <family val="2"/>
      <scheme val="major"/>
    </font>
    <font>
      <sz val="10"/>
      <name val="Arial"/>
      <family val="2"/>
    </font>
    <font>
      <sz val="8"/>
      <color theme="1"/>
      <name val="Daxline Offc Pro"/>
      <family val="2"/>
    </font>
    <font>
      <sz val="14"/>
      <color theme="1"/>
      <name val="Calibri Light"/>
      <family val="2"/>
      <scheme val="major"/>
    </font>
    <font>
      <sz val="11"/>
      <color theme="1"/>
      <name val="Calibri"/>
      <family val="2"/>
      <scheme val="minor"/>
    </font>
    <font>
      <sz val="11"/>
      <name val="Daxline Offc Pro"/>
      <family val="2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9" fontId="15" fillId="0" borderId="1"/>
    <xf numFmtId="49" fontId="15" fillId="0" borderId="1"/>
    <xf numFmtId="49" fontId="15" fillId="0" borderId="1"/>
    <xf numFmtId="49" fontId="15" fillId="4" borderId="1"/>
    <xf numFmtId="164" fontId="18" fillId="0" borderId="0" applyFont="0" applyFill="0" applyBorder="0" applyAlignment="0" applyProtection="0"/>
  </cellStyleXfs>
  <cellXfs count="10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2" fillId="0" borderId="0" xfId="0" applyFont="1"/>
    <xf numFmtId="0" fontId="13" fillId="0" borderId="0" xfId="0" applyFont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center"/>
    </xf>
    <xf numFmtId="49" fontId="15" fillId="0" borderId="1" xfId="1"/>
    <xf numFmtId="0" fontId="17" fillId="0" borderId="0" xfId="0" applyFont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1" fillId="3" borderId="0" xfId="0" applyFont="1" applyFill="1"/>
    <xf numFmtId="0" fontId="1" fillId="3" borderId="0" xfId="0" applyFont="1" applyFill="1" applyAlignment="1">
      <alignment horizontal="center" vertical="center"/>
    </xf>
    <xf numFmtId="1" fontId="1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2" fillId="0" borderId="0" xfId="0" applyFont="1" applyAlignment="1">
      <alignment vertical="center" textRotation="90"/>
    </xf>
    <xf numFmtId="0" fontId="1" fillId="0" borderId="2" xfId="0" applyFont="1" applyBorder="1"/>
    <xf numFmtId="0" fontId="1" fillId="0" borderId="3" xfId="0" applyFont="1" applyBorder="1"/>
    <xf numFmtId="0" fontId="2" fillId="0" borderId="3" xfId="0" applyFont="1" applyBorder="1" applyAlignment="1">
      <alignment horizontal="left" vertical="center" textRotation="90"/>
    </xf>
    <xf numFmtId="0" fontId="1" fillId="0" borderId="4" xfId="0" applyFont="1" applyBorder="1"/>
    <xf numFmtId="0" fontId="2" fillId="0" borderId="4" xfId="0" applyFont="1" applyBorder="1" applyAlignment="1">
      <alignment horizontal="left" vertical="center" textRotation="90"/>
    </xf>
    <xf numFmtId="0" fontId="2" fillId="0" borderId="0" xfId="0" applyFont="1" applyAlignment="1">
      <alignment horizontal="center" textRotation="90"/>
    </xf>
    <xf numFmtId="0" fontId="2" fillId="0" borderId="6" xfId="0" applyFont="1" applyBorder="1" applyAlignment="1">
      <alignment horizontal="center" vertical="center" textRotation="90"/>
    </xf>
    <xf numFmtId="0" fontId="2" fillId="0" borderId="0" xfId="0" applyFont="1" applyAlignment="1">
      <alignment horizontal="center" vertical="center" textRotation="90"/>
    </xf>
    <xf numFmtId="166" fontId="1" fillId="0" borderId="0" xfId="0" applyNumberFormat="1" applyFont="1"/>
    <xf numFmtId="166" fontId="5" fillId="0" borderId="0" xfId="0" applyNumberFormat="1" applyFont="1" applyAlignment="1">
      <alignment horizontal="center" vertical="center"/>
    </xf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5" fillId="0" borderId="17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166" fontId="2" fillId="0" borderId="0" xfId="0" applyNumberFormat="1" applyFont="1"/>
    <xf numFmtId="0" fontId="16" fillId="0" borderId="0" xfId="0" applyFont="1" applyAlignment="1">
      <alignment horizontal="center" vertical="center"/>
    </xf>
    <xf numFmtId="0" fontId="1" fillId="7" borderId="0" xfId="0" applyFont="1" applyFill="1" applyAlignment="1">
      <alignment horizontal="left" vertical="center"/>
    </xf>
    <xf numFmtId="0" fontId="1" fillId="7" borderId="0" xfId="0" applyFont="1" applyFill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1" fillId="7" borderId="0" xfId="0" applyFont="1" applyFill="1"/>
    <xf numFmtId="0" fontId="4" fillId="7" borderId="0" xfId="0" applyFont="1" applyFill="1" applyAlignment="1">
      <alignment horizontal="center"/>
    </xf>
    <xf numFmtId="166" fontId="1" fillId="7" borderId="0" xfId="0" applyNumberFormat="1" applyFont="1" applyFill="1"/>
    <xf numFmtId="0" fontId="1" fillId="3" borderId="0" xfId="0" applyFont="1" applyFill="1" applyAlignment="1">
      <alignment horizontal="left" vertical="center"/>
    </xf>
    <xf numFmtId="0" fontId="1" fillId="5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" fillId="6" borderId="0" xfId="0" applyFont="1" applyFill="1"/>
    <xf numFmtId="0" fontId="1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6" fillId="6" borderId="0" xfId="0" applyFont="1" applyFill="1" applyAlignment="1">
      <alignment horizontal="left" vertical="center"/>
    </xf>
    <xf numFmtId="0" fontId="6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vertical="center"/>
    </xf>
    <xf numFmtId="0" fontId="0" fillId="3" borderId="0" xfId="0" applyFill="1"/>
    <xf numFmtId="0" fontId="10" fillId="0" borderId="0" xfId="0" applyFont="1" applyAlignment="1">
      <alignment horizontal="left" vertical="center"/>
    </xf>
    <xf numFmtId="166" fontId="10" fillId="3" borderId="0" xfId="0" applyNumberFormat="1" applyFont="1" applyFill="1" applyAlignment="1">
      <alignment horizontal="left" vertical="center"/>
    </xf>
    <xf numFmtId="166" fontId="10" fillId="3" borderId="0" xfId="5" applyNumberFormat="1" applyFont="1" applyFill="1" applyAlignment="1">
      <alignment horizontal="left" vertical="center"/>
    </xf>
    <xf numFmtId="166" fontId="1" fillId="3" borderId="0" xfId="0" applyNumberFormat="1" applyFont="1" applyFill="1" applyAlignment="1">
      <alignment horizontal="left"/>
    </xf>
    <xf numFmtId="166" fontId="10" fillId="5" borderId="0" xfId="0" applyNumberFormat="1" applyFont="1" applyFill="1" applyAlignment="1">
      <alignment horizontal="left" vertical="center"/>
    </xf>
    <xf numFmtId="167" fontId="10" fillId="3" borderId="0" xfId="0" applyNumberFormat="1" applyFont="1" applyFill="1" applyAlignment="1">
      <alignment horizontal="left" vertical="center"/>
    </xf>
    <xf numFmtId="166" fontId="1" fillId="0" borderId="0" xfId="0" applyNumberFormat="1" applyFont="1" applyAlignment="1">
      <alignment horizontal="left"/>
    </xf>
    <xf numFmtId="166" fontId="10" fillId="0" borderId="0" xfId="0" applyNumberFormat="1" applyFont="1" applyAlignment="1">
      <alignment horizontal="left" vertical="center"/>
    </xf>
    <xf numFmtId="166" fontId="4" fillId="3" borderId="0" xfId="0" applyNumberFormat="1" applyFont="1" applyFill="1" applyAlignment="1">
      <alignment horizontal="left"/>
    </xf>
    <xf numFmtId="166" fontId="1" fillId="5" borderId="0" xfId="0" applyNumberFormat="1" applyFont="1" applyFill="1" applyAlignment="1">
      <alignment horizontal="left"/>
    </xf>
    <xf numFmtId="0" fontId="1" fillId="0" borderId="24" xfId="0" applyFont="1" applyBorder="1" applyAlignment="1">
      <alignment horizontal="left" vertical="center"/>
    </xf>
    <xf numFmtId="0" fontId="16" fillId="0" borderId="24" xfId="0" applyFont="1" applyBorder="1" applyAlignment="1">
      <alignment horizontal="left" vertical="center"/>
    </xf>
    <xf numFmtId="166" fontId="1" fillId="0" borderId="0" xfId="0" applyNumberFormat="1" applyFont="1" applyAlignment="1">
      <alignment horizontal="center" vertical="center"/>
    </xf>
    <xf numFmtId="0" fontId="2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 textRotation="90"/>
    </xf>
    <xf numFmtId="0" fontId="2" fillId="0" borderId="23" xfId="0" applyFont="1" applyBorder="1" applyAlignment="1">
      <alignment horizontal="center" vertical="center" textRotation="90"/>
    </xf>
    <xf numFmtId="0" fontId="2" fillId="0" borderId="5" xfId="0" applyFont="1" applyBorder="1" applyAlignment="1">
      <alignment horizontal="center" vertical="center" textRotation="90"/>
    </xf>
    <xf numFmtId="0" fontId="2" fillId="0" borderId="6" xfId="0" applyFont="1" applyBorder="1" applyAlignment="1">
      <alignment horizontal="center" vertical="center" textRotation="90"/>
    </xf>
    <xf numFmtId="0" fontId="2" fillId="0" borderId="7" xfId="0" applyFont="1" applyBorder="1" applyAlignment="1">
      <alignment horizontal="center" vertical="center" textRotation="90"/>
    </xf>
    <xf numFmtId="0" fontId="2" fillId="0" borderId="3" xfId="0" applyFont="1" applyBorder="1" applyAlignment="1">
      <alignment horizontal="center" vertical="center" textRotation="90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textRotation="90"/>
    </xf>
  </cellXfs>
  <cellStyles count="6">
    <cellStyle name="ColStyle1" xfId="2" xr:uid="{643A2A1D-70FF-4DC8-95A0-51A2F8702A48}"/>
    <cellStyle name="ColStyle2" xfId="1" xr:uid="{2ECCE06B-2AE1-420A-93C9-DB97AC0A21AD}"/>
    <cellStyle name="ColStyle2 2" xfId="3" xr:uid="{0062D88E-87EB-45F8-B940-CC2B815AB7BB}"/>
    <cellStyle name="ColStyle3" xfId="4" xr:uid="{513ADAF1-62E4-441F-BC65-924A0FD5317C}"/>
    <cellStyle name="Currency" xfId="5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urkan Küçükayar" id="{43BE72BF-E825-4714-8C9A-00A0B506BCE5}" userId="S::d760fuku@systemair.se::138bceea-b407-4e36-9e78-f14c879c29e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94" dT="2026-01-27T08:43:52.19" personId="{43BE72BF-E825-4714-8C9A-00A0B506BCE5}" id="{23F8AE6E-0F71-42A9-AB6E-91A223754C1F}">
    <text xml:space="preserve">Kod pasif
</text>
  </threadedComment>
  <threadedComment ref="C395" dT="2026-01-27T08:44:52.92" personId="{43BE72BF-E825-4714-8C9A-00A0B506BCE5}" id="{8B0AE5AA-4E3A-4810-A9D1-FBC5F03FF984}">
    <text>Kod Pasif</text>
  </threadedComment>
  <threadedComment ref="C396" dT="2026-01-27T08:47:18.76" personId="{43BE72BF-E825-4714-8C9A-00A0B506BCE5}" id="{5EC3DE73-486B-4492-9283-D142A2D18429}">
    <text xml:space="preserve">Kod Pasif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29FEE-0ED4-4D3C-8C06-5A9FBAFFD895}">
  <sheetPr codeName="Sayfa1"/>
  <dimension ref="B1:K11"/>
  <sheetViews>
    <sheetView workbookViewId="0">
      <selection activeCell="G3" sqref="G3"/>
    </sheetView>
  </sheetViews>
  <sheetFormatPr defaultRowHeight="31.2" x14ac:dyDescent="0.6"/>
  <cols>
    <col min="1" max="1" width="5.44140625" style="23" customWidth="1"/>
    <col min="2" max="2" width="8.21875" style="21" bestFit="1" customWidth="1"/>
    <col min="3" max="7" width="19.44140625" style="21" customWidth="1"/>
    <col min="8" max="8" width="19.44140625" style="24" customWidth="1"/>
    <col min="9" max="9" width="16.88671875" style="24" bestFit="1" customWidth="1"/>
    <col min="10" max="10" width="13.109375" style="23" bestFit="1" customWidth="1"/>
    <col min="11" max="16384" width="8.88671875" style="23"/>
  </cols>
  <sheetData>
    <row r="1" spans="2:11" x14ac:dyDescent="0.6">
      <c r="B1" s="22" t="s">
        <v>568</v>
      </c>
      <c r="C1" s="22" t="s">
        <v>493</v>
      </c>
      <c r="D1" s="22" t="s">
        <v>571</v>
      </c>
      <c r="E1" s="22" t="s">
        <v>569</v>
      </c>
      <c r="F1" s="22" t="s">
        <v>570</v>
      </c>
      <c r="G1" s="22" t="s">
        <v>581</v>
      </c>
      <c r="H1" s="22" t="s">
        <v>599</v>
      </c>
      <c r="I1" s="22" t="s">
        <v>600</v>
      </c>
      <c r="J1" s="22" t="s">
        <v>601</v>
      </c>
    </row>
    <row r="2" spans="2:11" x14ac:dyDescent="0.6">
      <c r="B2" s="21" t="s">
        <v>473</v>
      </c>
      <c r="C2" s="21">
        <v>7</v>
      </c>
      <c r="D2" s="21" t="s">
        <v>572</v>
      </c>
      <c r="E2" s="21">
        <v>7</v>
      </c>
      <c r="F2" s="21">
        <v>5</v>
      </c>
      <c r="G2" s="21">
        <v>0</v>
      </c>
      <c r="H2" s="24">
        <v>0</v>
      </c>
      <c r="I2" s="24">
        <v>0</v>
      </c>
      <c r="J2" s="24">
        <v>0</v>
      </c>
    </row>
    <row r="3" spans="2:11" x14ac:dyDescent="0.6">
      <c r="C3" s="21">
        <v>11</v>
      </c>
      <c r="D3" s="21" t="s">
        <v>573</v>
      </c>
      <c r="E3" s="21">
        <v>5</v>
      </c>
      <c r="F3" s="21">
        <v>5</v>
      </c>
      <c r="G3" s="21" t="s">
        <v>602</v>
      </c>
      <c r="H3" s="24">
        <v>1</v>
      </c>
      <c r="I3" s="24">
        <v>1</v>
      </c>
      <c r="J3" s="24">
        <v>1</v>
      </c>
    </row>
    <row r="4" spans="2:11" x14ac:dyDescent="0.6">
      <c r="C4" s="21">
        <v>15</v>
      </c>
      <c r="E4" s="21">
        <v>47</v>
      </c>
      <c r="F4" s="21">
        <v>5</v>
      </c>
    </row>
    <row r="5" spans="2:11" x14ac:dyDescent="0.6">
      <c r="C5" s="21">
        <v>22</v>
      </c>
      <c r="E5" s="21">
        <v>49</v>
      </c>
      <c r="F5" s="21">
        <v>5</v>
      </c>
    </row>
    <row r="6" spans="2:11" x14ac:dyDescent="0.6">
      <c r="C6" s="21">
        <v>32</v>
      </c>
    </row>
    <row r="7" spans="2:11" x14ac:dyDescent="0.6">
      <c r="C7" s="21">
        <v>42</v>
      </c>
    </row>
    <row r="8" spans="2:11" x14ac:dyDescent="0.6">
      <c r="C8" s="21">
        <v>53</v>
      </c>
    </row>
    <row r="9" spans="2:11" x14ac:dyDescent="0.6">
      <c r="C9" s="21">
        <v>64</v>
      </c>
    </row>
    <row r="10" spans="2:11" x14ac:dyDescent="0.6">
      <c r="C10" s="21">
        <v>90</v>
      </c>
    </row>
    <row r="11" spans="2:11" ht="162" x14ac:dyDescent="0.6">
      <c r="C11" s="26" t="s">
        <v>670</v>
      </c>
      <c r="D11" s="26" t="s">
        <v>671</v>
      </c>
      <c r="E11" s="26" t="s">
        <v>672</v>
      </c>
      <c r="F11" s="26" t="s">
        <v>673</v>
      </c>
      <c r="G11" s="26" t="s">
        <v>674</v>
      </c>
      <c r="H11" s="26" t="s">
        <v>675</v>
      </c>
      <c r="I11" s="26" t="s">
        <v>676</v>
      </c>
      <c r="J11" s="26" t="s">
        <v>677</v>
      </c>
      <c r="K11" s="2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CF01F-C6FF-4947-8C10-6E67D10830C2}">
  <sheetPr codeName="Sayfa2"/>
  <dimension ref="B1:P167"/>
  <sheetViews>
    <sheetView tabSelected="1" zoomScale="70" zoomScaleNormal="70" workbookViewId="0">
      <selection activeCell="E25" sqref="E25"/>
    </sheetView>
  </sheetViews>
  <sheetFormatPr defaultRowHeight="15" x14ac:dyDescent="0.35"/>
  <cols>
    <col min="2" max="2" width="8.88671875" style="1"/>
    <col min="3" max="3" width="4.6640625" style="1" bestFit="1" customWidth="1"/>
    <col min="4" max="4" width="14.5546875" style="1" bestFit="1" customWidth="1"/>
    <col min="5" max="5" width="14.33203125" style="1" bestFit="1" customWidth="1"/>
    <col min="6" max="6" width="17.44140625" style="1" customWidth="1"/>
    <col min="7" max="7" width="10.44140625" style="1" bestFit="1" customWidth="1"/>
    <col min="8" max="8" width="8.88671875" style="1"/>
    <col min="9" max="9" width="27.109375" style="1" bestFit="1" customWidth="1"/>
    <col min="10" max="10" width="4.6640625" style="1" customWidth="1"/>
    <col min="11" max="11" width="79.33203125" style="1" bestFit="1" customWidth="1"/>
    <col min="12" max="12" width="24.33203125" style="1" customWidth="1"/>
    <col min="13" max="13" width="9.44140625" style="1" bestFit="1" customWidth="1"/>
    <col min="14" max="14" width="8.88671875" style="1"/>
    <col min="15" max="15" width="13.44140625" style="1" bestFit="1" customWidth="1"/>
    <col min="16" max="16" width="16" style="1" bestFit="1" customWidth="1"/>
  </cols>
  <sheetData>
    <row r="1" spans="2:16" s="15" customFormat="1" x14ac:dyDescent="0.3">
      <c r="B1" s="3" t="s">
        <v>493</v>
      </c>
      <c r="C1" s="3" t="s">
        <v>571</v>
      </c>
      <c r="D1" s="3" t="s">
        <v>569</v>
      </c>
      <c r="E1" s="3" t="s">
        <v>570</v>
      </c>
      <c r="F1" s="3" t="s">
        <v>581</v>
      </c>
      <c r="G1" s="3" t="s">
        <v>599</v>
      </c>
      <c r="H1" s="3" t="s">
        <v>600</v>
      </c>
      <c r="I1" s="3" t="s">
        <v>601</v>
      </c>
      <c r="J1" s="3"/>
      <c r="K1" s="3"/>
      <c r="L1" s="3"/>
      <c r="M1" s="3"/>
      <c r="N1" s="3"/>
      <c r="O1" s="3"/>
      <c r="P1" s="3"/>
    </row>
    <row r="2" spans="2:16" s="15" customFormat="1" x14ac:dyDescent="0.3">
      <c r="B2" s="3">
        <v>7</v>
      </c>
      <c r="C2" s="3" t="s">
        <v>572</v>
      </c>
      <c r="D2" s="3">
        <v>7</v>
      </c>
      <c r="E2" s="3">
        <v>5</v>
      </c>
      <c r="F2" s="3">
        <v>0</v>
      </c>
      <c r="G2" s="3">
        <v>0</v>
      </c>
      <c r="H2" s="3">
        <v>0</v>
      </c>
      <c r="I2" s="3">
        <v>0</v>
      </c>
      <c r="J2" s="3"/>
      <c r="K2" s="3"/>
      <c r="L2" s="3"/>
      <c r="M2" s="3"/>
      <c r="N2" s="3"/>
      <c r="O2" s="3"/>
      <c r="P2" s="3"/>
    </row>
    <row r="3" spans="2:16" x14ac:dyDescent="0.35">
      <c r="N3" s="95" t="s">
        <v>741</v>
      </c>
      <c r="O3" s="95"/>
      <c r="P3" s="58">
        <f ca="1">SUM(P7:P167)</f>
        <v>6044.2707999999993</v>
      </c>
    </row>
    <row r="4" spans="2:16" ht="15.6" thickBot="1" x14ac:dyDescent="0.4"/>
    <row r="5" spans="2:16" ht="15.6" thickBot="1" x14ac:dyDescent="0.4">
      <c r="I5" s="92" t="s">
        <v>699</v>
      </c>
      <c r="J5" s="93"/>
      <c r="K5" s="93"/>
      <c r="L5" s="93"/>
      <c r="M5" s="93"/>
      <c r="N5" s="93"/>
      <c r="O5" s="93"/>
      <c r="P5" s="94"/>
    </row>
    <row r="6" spans="2:16" ht="15.6" thickBot="1" x14ac:dyDescent="0.4">
      <c r="I6" s="54" t="s">
        <v>728</v>
      </c>
      <c r="J6" s="55" t="s">
        <v>1</v>
      </c>
      <c r="K6" s="56" t="s">
        <v>2</v>
      </c>
      <c r="L6" s="56" t="s">
        <v>3</v>
      </c>
      <c r="M6" s="56" t="s">
        <v>4</v>
      </c>
      <c r="N6" s="56" t="s">
        <v>5</v>
      </c>
      <c r="O6" s="56" t="s">
        <v>739</v>
      </c>
      <c r="P6" s="57" t="s">
        <v>740</v>
      </c>
    </row>
    <row r="7" spans="2:16" x14ac:dyDescent="0.35">
      <c r="I7" s="45" t="str" cm="1">
        <f t="array" aca="1" ref="I7:P90" ca="1">_xlfn.LET(
    _xlpm.S_Adi, B2,
    _xlpm.Urunler, INDIRECT("'"&amp;_xlpm.S_Adi&amp;"'!L3:S250"),
    _xlpm.G_Kontrol, INDIRECT("'"&amp;_xlpm.S_Adi&amp;"'!J3:J250"),
    _xlpm.C_Krit, (INDIRECT("'"&amp;_xlpm.S_Adi&amp;"'!C3:C250")=C2) + (INDIRECT("'"&amp;_xlpm.S_Adi&amp;"'!C3:C250")="sabit"),
    _xlpm.D_Krit, (INDIRECT("'"&amp;_xlpm.S_Adi&amp;"'!D3:D250")=D2) + (INDIRECT("'"&amp;_xlpm.S_Adi&amp;"'!D3:D250")="sabit"),
    _xlpm.E_Krit, (INDIRECT("'"&amp;_xlpm.S_Adi&amp;"'!E3:E250")=E2) + (INDIRECT("'"&amp;_xlpm.S_Adi&amp;"'!E3:E250")="sabit"),
    _xlpm.F_Krit, (INDIRECT("'"&amp;_xlpm.S_Adi&amp;"'!F3:F250")=F2) + (INDIRECT("'"&amp;_xlpm.S_Adi&amp;"'!F3:F250")="sabit"),
    _xlpm.G_Krit, (INDIRECT("'"&amp;_xlpm.S_Adi&amp;"'!G3:G250")=G2) + (INDIRECT("'"&amp;_xlpm.S_Adi&amp;"'!G3:G250")="sabit"),
    _xlpm.H_Krit, (INDIRECT("'"&amp;_xlpm.S_Adi&amp;"'!H3:H250")=H2) + (INDIRECT("'"&amp;_xlpm.S_Adi&amp;"'!H3:H250")="sabit"),
    _xlpm.I_Krit, (INDIRECT("'"&amp;_xlpm.S_Adi&amp;"'!I3:I250")=I2) + (INDIRECT("'"&amp;_xlpm.S_Adi&amp;"'!I3:I250")="sabit"),
    _xlpm.Sonuc, _xlfn._xlws.FILTER(_xlpm.Urunler, (_xlpm.C_Krit * _xlpm.D_Krit * _xlpm.E_Krit * _xlpm.F_Krit * _xlpm.G_Krit * _xlpm.H_Krit * _xlpm.I_Krit * (_xlpm.G_Kontrol=1)), ""),
    _xlfn.UNIQUE(_xlpm.Sonuc)
)</f>
        <v>MEKANİK</v>
      </c>
      <c r="J7" s="46">
        <f ca="1"/>
        <v>1</v>
      </c>
      <c r="K7" s="46" t="str">
        <f ca="1"/>
        <v xml:space="preserve">Kompresör ZP36K5E-TFD </v>
      </c>
      <c r="L7" s="46" t="str">
        <f ca="1"/>
        <v>R20KMZP036K5E</v>
      </c>
      <c r="M7" s="46" t="str">
        <f ca="1"/>
        <v>Adet</v>
      </c>
      <c r="N7" s="46">
        <f ca="1"/>
        <v>1</v>
      </c>
      <c r="O7" s="46">
        <f ca="1"/>
        <v>1</v>
      </c>
      <c r="P7" s="47">
        <f ca="1"/>
        <v>1</v>
      </c>
    </row>
    <row r="8" spans="2:16" x14ac:dyDescent="0.35">
      <c r="I8" s="48" t="str">
        <f ca="1"/>
        <v>MEKANİK</v>
      </c>
      <c r="J8" s="49">
        <f ca="1"/>
        <v>2</v>
      </c>
      <c r="K8" s="49" t="str">
        <f ca="1"/>
        <v>Copeland Karter Isıtıcı ID:8561150</v>
      </c>
      <c r="L8" s="49" t="str">
        <f ca="1"/>
        <v>R20KI08561150</v>
      </c>
      <c r="M8" s="49" t="str">
        <f ca="1"/>
        <v>Adet</v>
      </c>
      <c r="N8" s="49">
        <f ca="1"/>
        <v>1</v>
      </c>
      <c r="O8" s="49">
        <f ca="1"/>
        <v>39.920999999999999</v>
      </c>
      <c r="P8" s="50">
        <f ca="1"/>
        <v>39.920999999999999</v>
      </c>
    </row>
    <row r="9" spans="2:16" x14ac:dyDescent="0.35">
      <c r="I9" s="48" t="str">
        <f ca="1"/>
        <v>MEKANİK</v>
      </c>
      <c r="J9" s="49">
        <f ca="1"/>
        <v>3</v>
      </c>
      <c r="K9" s="49" t="str">
        <f ca="1"/>
        <v>4 Yollu Vana SHF-14A-46 1/2"x3/4"</v>
      </c>
      <c r="L9" s="49" t="str">
        <f ca="1"/>
        <v>R20V144612340</v>
      </c>
      <c r="M9" s="49" t="str">
        <f ca="1"/>
        <v>Adet</v>
      </c>
      <c r="N9" s="49">
        <f ca="1"/>
        <v>1</v>
      </c>
      <c r="O9" s="49">
        <f ca="1"/>
        <v>60</v>
      </c>
      <c r="P9" s="50">
        <f ca="1"/>
        <v>60</v>
      </c>
    </row>
    <row r="10" spans="2:16" x14ac:dyDescent="0.35">
      <c r="I10" s="48" t="str">
        <f ca="1"/>
        <v>MEKANİK</v>
      </c>
      <c r="J10" s="49">
        <f ca="1"/>
        <v>4</v>
      </c>
      <c r="K10" s="49" t="str">
        <f ca="1"/>
        <v>4 Yollu Vana Bobini 220V AC 4,5W Kablolu</v>
      </c>
      <c r="L10" s="49" t="str">
        <f ca="1"/>
        <v>R27SVB2204500</v>
      </c>
      <c r="M10" s="49" t="str">
        <f ca="1"/>
        <v>Adet</v>
      </c>
      <c r="N10" s="49">
        <f ca="1"/>
        <v>1</v>
      </c>
      <c r="O10" s="49">
        <f ca="1"/>
        <v>12.8</v>
      </c>
      <c r="P10" s="50">
        <f ca="1"/>
        <v>12.8</v>
      </c>
    </row>
    <row r="11" spans="2:16" x14ac:dyDescent="0.35">
      <c r="D11" s="91"/>
      <c r="E11" s="91"/>
      <c r="F11" s="91"/>
      <c r="I11" s="48" t="str">
        <f ca="1"/>
        <v>MEKANİK</v>
      </c>
      <c r="J11" s="49">
        <f ca="1"/>
        <v>5</v>
      </c>
      <c r="K11" s="49" t="str">
        <f ca="1"/>
        <v>Danfoss NRV 10 s 02B1011 3/8" Check Valve</v>
      </c>
      <c r="L11" s="49" t="str">
        <f ca="1"/>
        <v>R20NRV10S3801</v>
      </c>
      <c r="M11" s="49" t="str">
        <f ca="1"/>
        <v>Adet</v>
      </c>
      <c r="N11" s="49">
        <f ca="1"/>
        <v>4</v>
      </c>
      <c r="O11" s="49">
        <f ca="1"/>
        <v>13.05</v>
      </c>
      <c r="P11" s="50">
        <f ca="1"/>
        <v>52.2</v>
      </c>
    </row>
    <row r="12" spans="2:16" x14ac:dyDescent="0.35">
      <c r="I12" s="48" t="str">
        <f ca="1"/>
        <v>MEKANİK</v>
      </c>
      <c r="J12" s="49">
        <f ca="1"/>
        <v>6</v>
      </c>
      <c r="K12" s="49" t="str">
        <f ca="1"/>
        <v>Danfoss Drier DML083 3/8" 023Z5040</v>
      </c>
      <c r="L12" s="49" t="str">
        <f ca="1"/>
        <v>R20DML0833801</v>
      </c>
      <c r="M12" s="49" t="str">
        <f ca="1"/>
        <v>Adet</v>
      </c>
      <c r="N12" s="49">
        <f ca="1"/>
        <v>1</v>
      </c>
      <c r="O12" s="49">
        <f ca="1"/>
        <v>10.15</v>
      </c>
      <c r="P12" s="50">
        <f ca="1"/>
        <v>10.15</v>
      </c>
    </row>
    <row r="13" spans="2:16" x14ac:dyDescent="0.35">
      <c r="D13" s="4"/>
      <c r="E13" s="4"/>
      <c r="F13" s="4"/>
      <c r="I13" s="48" t="str">
        <f ca="1"/>
        <v>MEKANİK</v>
      </c>
      <c r="J13" s="49">
        <f ca="1"/>
        <v>7</v>
      </c>
      <c r="K13" s="49" t="str">
        <f ca="1"/>
        <v>Danfoss Gözetleme Camı Kaynaklı SGP 10s N 3/8" 014L0182</v>
      </c>
      <c r="L13" s="49" t="str">
        <f ca="1"/>
        <v>R20SGP10SN380</v>
      </c>
      <c r="M13" s="49" t="str">
        <f ca="1"/>
        <v>Adet</v>
      </c>
      <c r="N13" s="49">
        <f ca="1"/>
        <v>1</v>
      </c>
      <c r="O13" s="49">
        <f ca="1"/>
        <v>9.5</v>
      </c>
      <c r="P13" s="50">
        <f ca="1"/>
        <v>9.5</v>
      </c>
    </row>
    <row r="14" spans="2:16" x14ac:dyDescent="0.35">
      <c r="D14" s="91"/>
      <c r="E14" s="91"/>
      <c r="F14" s="91"/>
      <c r="I14" s="48" t="str">
        <f ca="1"/>
        <v>MEKANİK</v>
      </c>
      <c r="J14" s="49">
        <f ca="1"/>
        <v>8</v>
      </c>
      <c r="K14" s="49" t="str">
        <f ca="1"/>
        <v>Danfoss Küresel Vana GBC 10s 3/8" 009L7021</v>
      </c>
      <c r="L14" s="49" t="str">
        <f ca="1"/>
        <v>R20GBC1038702</v>
      </c>
      <c r="M14" s="49" t="str">
        <f ca="1"/>
        <v>Adet</v>
      </c>
      <c r="N14" s="49">
        <f ca="1"/>
        <v>1</v>
      </c>
      <c r="O14" s="49">
        <f ca="1"/>
        <v>18</v>
      </c>
      <c r="P14" s="50">
        <f ca="1"/>
        <v>18</v>
      </c>
    </row>
    <row r="15" spans="2:16" x14ac:dyDescent="0.35">
      <c r="D15" s="91"/>
      <c r="E15" s="91"/>
      <c r="F15" s="91"/>
      <c r="I15" s="48" t="str">
        <f ca="1"/>
        <v>MEKANİK</v>
      </c>
      <c r="J15" s="49">
        <f ca="1"/>
        <v>9</v>
      </c>
      <c r="K15" s="49" t="str">
        <f ca="1"/>
        <v>GVN LİKİT TANKI VLR.A.33b.02.B2.C2</v>
      </c>
      <c r="L15" s="49" t="str">
        <f ca="1"/>
        <v>R20LTVLR02221</v>
      </c>
      <c r="M15" s="49" t="str">
        <f ca="1"/>
        <v>Adet</v>
      </c>
      <c r="N15" s="49">
        <f ca="1"/>
        <v>1</v>
      </c>
      <c r="O15" s="49">
        <f ca="1"/>
        <v>0</v>
      </c>
      <c r="P15" s="50">
        <f ca="1"/>
        <v>0</v>
      </c>
    </row>
    <row r="16" spans="2:16" x14ac:dyDescent="0.35">
      <c r="D16" s="91"/>
      <c r="E16" s="91"/>
      <c r="F16" s="91"/>
      <c r="I16" s="48" t="str">
        <f ca="1"/>
        <v>MEKANİK</v>
      </c>
      <c r="J16" s="49">
        <f ca="1"/>
        <v>10</v>
      </c>
      <c r="K16" s="49" t="str">
        <f ca="1"/>
        <v>GVN EMİŞ AKÜMÜLATÖRÜ SLA.33B.19.1.7</v>
      </c>
      <c r="L16" s="49" t="str">
        <f ca="1"/>
        <v>R20SLA1917000</v>
      </c>
      <c r="M16" s="49" t="str">
        <f ca="1"/>
        <v>Adet</v>
      </c>
      <c r="N16" s="49">
        <f ca="1"/>
        <v>1</v>
      </c>
      <c r="O16" s="49">
        <f ca="1"/>
        <v>0</v>
      </c>
      <c r="P16" s="50">
        <f ca="1"/>
        <v>0</v>
      </c>
    </row>
    <row r="17" spans="4:16" x14ac:dyDescent="0.35">
      <c r="D17" s="91"/>
      <c r="E17" s="91"/>
      <c r="F17" s="91"/>
      <c r="I17" s="48" t="str">
        <f ca="1"/>
        <v>MEKANİK</v>
      </c>
      <c r="J17" s="49">
        <f ca="1"/>
        <v>11</v>
      </c>
      <c r="K17" s="49" t="str">
        <f ca="1"/>
        <v>BAKIR BORU Q19 (3/4")-1 MM</v>
      </c>
      <c r="L17" s="49" t="str">
        <f ca="1"/>
        <v>R20BBQ1900000</v>
      </c>
      <c r="M17" s="49" t="str">
        <f ca="1"/>
        <v>Adet</v>
      </c>
      <c r="N17" s="49">
        <f ca="1"/>
        <v>4</v>
      </c>
      <c r="O17" s="49">
        <f ca="1"/>
        <v>9.65</v>
      </c>
      <c r="P17" s="50">
        <f ca="1"/>
        <v>38.6</v>
      </c>
    </row>
    <row r="18" spans="4:16" x14ac:dyDescent="0.35">
      <c r="D18" s="91"/>
      <c r="E18" s="91"/>
      <c r="F18" s="91"/>
      <c r="I18" s="48" t="str">
        <f ca="1"/>
        <v>MEKANİK</v>
      </c>
      <c r="J18" s="49">
        <f ca="1"/>
        <v>12</v>
      </c>
      <c r="K18" s="49" t="str">
        <f ca="1"/>
        <v>BAKIR BORU Q9,52 (3/8")-1 MM</v>
      </c>
      <c r="L18" s="49" t="str">
        <f ca="1"/>
        <v>R20BBQ9520000</v>
      </c>
      <c r="M18" s="49" t="str">
        <f ca="1"/>
        <v>Adet</v>
      </c>
      <c r="N18" s="49">
        <f ca="1"/>
        <v>3.5</v>
      </c>
      <c r="O18" s="49">
        <f ca="1"/>
        <v>4.6500000000000004</v>
      </c>
      <c r="P18" s="50">
        <f ca="1"/>
        <v>16.275000000000002</v>
      </c>
    </row>
    <row r="19" spans="4:16" x14ac:dyDescent="0.35">
      <c r="I19" s="48" t="str">
        <f ca="1"/>
        <v>MEKANİK</v>
      </c>
      <c r="J19" s="49">
        <f ca="1"/>
        <v>13</v>
      </c>
      <c r="K19" s="49" t="str">
        <f ca="1"/>
        <v>BAKIR TE 3/8"-3/8"-3/8"</v>
      </c>
      <c r="L19" s="49" t="str">
        <f ca="1"/>
        <v>R20BT00383838</v>
      </c>
      <c r="M19" s="49" t="str">
        <f ca="1"/>
        <v>Adet</v>
      </c>
      <c r="N19" s="49">
        <f ca="1"/>
        <v>2</v>
      </c>
      <c r="O19" s="49">
        <f ca="1"/>
        <v>0.4</v>
      </c>
      <c r="P19" s="50">
        <f ca="1"/>
        <v>0.8</v>
      </c>
    </row>
    <row r="20" spans="4:16" x14ac:dyDescent="0.35">
      <c r="I20" s="48" t="str">
        <f ca="1"/>
        <v>MEKANİK</v>
      </c>
      <c r="J20" s="49">
        <f ca="1"/>
        <v>14</v>
      </c>
      <c r="K20" s="49" t="str">
        <f ca="1"/>
        <v>BAKIR REDUKSIYON 12x10</v>
      </c>
      <c r="L20" s="49" t="str">
        <f ca="1"/>
        <v>R20MK00001210</v>
      </c>
      <c r="M20" s="49" t="str">
        <f ca="1"/>
        <v>Adet</v>
      </c>
      <c r="N20" s="49">
        <f ca="1"/>
        <v>2</v>
      </c>
      <c r="O20" s="49">
        <f ca="1"/>
        <v>0.3</v>
      </c>
      <c r="P20" s="50">
        <f ca="1"/>
        <v>0.6</v>
      </c>
    </row>
    <row r="21" spans="4:16" x14ac:dyDescent="0.35">
      <c r="I21" s="48" t="str">
        <f ca="1"/>
        <v>MEKANİK</v>
      </c>
      <c r="J21" s="49">
        <f ca="1"/>
        <v>15</v>
      </c>
      <c r="K21" s="49" t="str">
        <f ca="1"/>
        <v>BAKIR BORU Q12 (1/2")-1 MM</v>
      </c>
      <c r="L21" s="49" t="str">
        <f ca="1"/>
        <v>R20BBQ1200000</v>
      </c>
      <c r="M21" s="49" t="str">
        <f ca="1"/>
        <v>Adet</v>
      </c>
      <c r="N21" s="49">
        <f ca="1"/>
        <v>2</v>
      </c>
      <c r="O21" s="49">
        <f ca="1"/>
        <v>6.35</v>
      </c>
      <c r="P21" s="50">
        <f ca="1"/>
        <v>12.7</v>
      </c>
    </row>
    <row r="22" spans="4:16" x14ac:dyDescent="0.35">
      <c r="I22" s="48" t="str">
        <f ca="1"/>
        <v>MEKANİK</v>
      </c>
      <c r="J22" s="49">
        <f ca="1"/>
        <v>16</v>
      </c>
      <c r="K22" s="49" t="str">
        <f ca="1"/>
        <v>BAKIR BORU 1/4"</v>
      </c>
      <c r="L22" s="49" t="str">
        <f ca="1"/>
        <v>R20BBQ1400000</v>
      </c>
      <c r="M22" s="49" t="str">
        <f ca="1"/>
        <v>Adet</v>
      </c>
      <c r="N22" s="49">
        <f ca="1"/>
        <v>4</v>
      </c>
      <c r="O22" s="49">
        <f ca="1"/>
        <v>2.5</v>
      </c>
      <c r="P22" s="50">
        <f ca="1"/>
        <v>10</v>
      </c>
    </row>
    <row r="23" spans="4:16" x14ac:dyDescent="0.35">
      <c r="I23" s="48" t="str">
        <f ca="1"/>
        <v>MEKANİK</v>
      </c>
      <c r="J23" s="49">
        <f ca="1"/>
        <v>17</v>
      </c>
      <c r="K23" s="49" t="str">
        <f ca="1"/>
        <v>BAKIR BORU Q16 (5/8")-1 MM</v>
      </c>
      <c r="L23" s="49" t="str">
        <f ca="1"/>
        <v>R20BBQ1600000</v>
      </c>
      <c r="M23" s="49" t="str">
        <f ca="1"/>
        <v>Adet</v>
      </c>
      <c r="N23" s="49">
        <f ca="1"/>
        <v>2</v>
      </c>
      <c r="O23" s="49">
        <f ca="1"/>
        <v>7.85</v>
      </c>
      <c r="P23" s="50">
        <f ca="1"/>
        <v>15.7</v>
      </c>
    </row>
    <row r="24" spans="4:16" x14ac:dyDescent="0.35">
      <c r="I24" s="48" t="str">
        <f ca="1"/>
        <v>MEKANİK</v>
      </c>
      <c r="J24" s="49">
        <f ca="1"/>
        <v>18</v>
      </c>
      <c r="K24" s="49" t="str">
        <f ca="1"/>
        <v>Kauçuk Kelepçe 22 mm</v>
      </c>
      <c r="L24" s="49" t="str">
        <f ca="1"/>
        <v>R21RK32000002</v>
      </c>
      <c r="M24" s="49" t="str">
        <f ca="1"/>
        <v>Adet</v>
      </c>
      <c r="N24" s="49">
        <f ca="1"/>
        <v>2</v>
      </c>
      <c r="O24" s="49">
        <f ca="1"/>
        <v>0</v>
      </c>
      <c r="P24" s="50">
        <f ca="1"/>
        <v>0</v>
      </c>
    </row>
    <row r="25" spans="4:16" x14ac:dyDescent="0.35">
      <c r="I25" s="48" t="str">
        <f ca="1"/>
        <v>MEKANİK</v>
      </c>
      <c r="J25" s="49">
        <f ca="1"/>
        <v>19</v>
      </c>
      <c r="K25" s="49" t="str">
        <f ca="1"/>
        <v>7/8" İzolasyon 9'luk</v>
      </c>
      <c r="L25" s="49" t="str">
        <f ca="1"/>
        <v>R10IZ90280005</v>
      </c>
      <c r="M25" s="49" t="str">
        <f ca="1"/>
        <v>Adet</v>
      </c>
      <c r="N25" s="49">
        <f ca="1"/>
        <v>2</v>
      </c>
      <c r="O25" s="49">
        <f ca="1"/>
        <v>0.4</v>
      </c>
      <c r="P25" s="50">
        <f ca="1"/>
        <v>0.8</v>
      </c>
    </row>
    <row r="26" spans="4:16" x14ac:dyDescent="0.35">
      <c r="I26" s="48" t="str">
        <f ca="1"/>
        <v>MEKANİK</v>
      </c>
      <c r="J26" s="49">
        <f ca="1"/>
        <v>20</v>
      </c>
      <c r="K26" s="49" t="str">
        <f ca="1"/>
        <v>Gümüş KAYNAK TELİ</v>
      </c>
      <c r="L26" s="49" t="str">
        <f ca="1"/>
        <v>R20GK30000000</v>
      </c>
      <c r="M26" s="49" t="str">
        <f ca="1"/>
        <v>Adet</v>
      </c>
      <c r="N26" s="49">
        <f ca="1"/>
        <v>0.1</v>
      </c>
      <c r="O26" s="49">
        <f ca="1"/>
        <v>1615.6</v>
      </c>
      <c r="P26" s="50">
        <f ca="1"/>
        <v>161.56</v>
      </c>
    </row>
    <row r="27" spans="4:16" x14ac:dyDescent="0.35">
      <c r="I27" s="48" t="str">
        <f ca="1"/>
        <v>MEKANİK</v>
      </c>
      <c r="J27" s="49">
        <f ca="1"/>
        <v>21</v>
      </c>
      <c r="K27" s="49" t="str">
        <f ca="1"/>
        <v>BAKIR KAYNAK TELİ</v>
      </c>
      <c r="L27" s="49" t="str">
        <f ca="1"/>
        <v>R20BAKIRKT001</v>
      </c>
      <c r="M27" s="49" t="str">
        <f ca="1"/>
        <v>Adet</v>
      </c>
      <c r="N27" s="49">
        <f ca="1"/>
        <v>0.2</v>
      </c>
      <c r="O27" s="49">
        <f ca="1"/>
        <v>40</v>
      </c>
      <c r="P27" s="50">
        <f ca="1"/>
        <v>8</v>
      </c>
    </row>
    <row r="28" spans="4:16" x14ac:dyDescent="0.35">
      <c r="I28" s="48" t="str">
        <f ca="1"/>
        <v>MEKANİK</v>
      </c>
      <c r="J28" s="49">
        <f ca="1"/>
        <v>22</v>
      </c>
      <c r="K28" s="49" t="str">
        <f ca="1"/>
        <v>BORAKS KİMYASAL ICOLD İ-FLUX 020AG1014</v>
      </c>
      <c r="L28" s="49" t="str">
        <f ca="1"/>
        <v>R20BR10000000</v>
      </c>
      <c r="M28" s="49" t="str">
        <f ca="1"/>
        <v>Adet</v>
      </c>
      <c r="N28" s="49">
        <f ca="1"/>
        <v>0.1</v>
      </c>
      <c r="O28" s="49">
        <f ca="1"/>
        <v>150</v>
      </c>
      <c r="P28" s="50">
        <f ca="1"/>
        <v>15</v>
      </c>
    </row>
    <row r="29" spans="4:16" x14ac:dyDescent="0.35">
      <c r="I29" s="48" t="str">
        <f ca="1"/>
        <v>MEKANİK</v>
      </c>
      <c r="J29" s="49">
        <f ca="1"/>
        <v>23</v>
      </c>
      <c r="K29" s="49" t="str">
        <f ca="1"/>
        <v>CRYOLANT RB 32 ESTER YAG</v>
      </c>
      <c r="L29" s="49" t="str">
        <f ca="1"/>
        <v>R20KY0RB32001</v>
      </c>
      <c r="M29" s="49" t="str">
        <f ca="1"/>
        <v>Adet</v>
      </c>
      <c r="N29" s="49">
        <f ca="1"/>
        <v>0.8</v>
      </c>
      <c r="O29" s="49">
        <f ca="1"/>
        <v>30</v>
      </c>
      <c r="P29" s="50">
        <f ca="1"/>
        <v>24</v>
      </c>
    </row>
    <row r="30" spans="4:16" x14ac:dyDescent="0.35">
      <c r="I30" s="48" t="str">
        <f ca="1"/>
        <v>MEKANİK</v>
      </c>
      <c r="J30" s="49">
        <f ca="1"/>
        <v>24</v>
      </c>
      <c r="K30" s="49" t="str">
        <f ca="1"/>
        <v>GAZ R410 (11.3 KG/TÜP)</v>
      </c>
      <c r="L30" s="49" t="str">
        <f ca="1"/>
        <v>R20GR41000000</v>
      </c>
      <c r="M30" s="49" t="str">
        <f ca="1"/>
        <v>Adet</v>
      </c>
      <c r="N30" s="49">
        <f ca="1"/>
        <v>1</v>
      </c>
      <c r="O30" s="49">
        <f ca="1"/>
        <v>150</v>
      </c>
      <c r="P30" s="50">
        <f ca="1"/>
        <v>150</v>
      </c>
    </row>
    <row r="31" spans="4:16" x14ac:dyDescent="0.35">
      <c r="I31" s="48" t="str">
        <f ca="1"/>
        <v>MEKANİK</v>
      </c>
      <c r="J31" s="49">
        <f ca="1"/>
        <v>25</v>
      </c>
      <c r="K31" s="49" t="str">
        <f ca="1"/>
        <v>VBS0400CTRNS - 8300100759</v>
      </c>
      <c r="L31" s="49" t="str">
        <f ca="1"/>
        <v>R058300100759</v>
      </c>
      <c r="M31" s="49" t="str">
        <f ca="1"/>
        <v>Adet</v>
      </c>
      <c r="N31" s="49">
        <f ca="1"/>
        <v>1</v>
      </c>
      <c r="O31" s="49">
        <f ca="1"/>
        <v>342</v>
      </c>
      <c r="P31" s="50">
        <f ca="1"/>
        <v>342</v>
      </c>
    </row>
    <row r="32" spans="4:16" x14ac:dyDescent="0.35">
      <c r="I32" s="48" t="str">
        <f ca="1"/>
        <v>MEKANİK</v>
      </c>
      <c r="J32" s="49">
        <f ca="1"/>
        <v>26</v>
      </c>
      <c r="K32" s="49" t="str">
        <f ca="1"/>
        <v>VBS0400CTRNS - 8300100759</v>
      </c>
      <c r="L32" s="49" t="str">
        <f ca="1"/>
        <v>R058300100759</v>
      </c>
      <c r="M32" s="49" t="str">
        <f ca="1"/>
        <v>Adet</v>
      </c>
      <c r="N32" s="49">
        <f ca="1"/>
        <v>1</v>
      </c>
      <c r="O32" s="49">
        <f ca="1"/>
        <v>342</v>
      </c>
      <c r="P32" s="50">
        <f ca="1"/>
        <v>342</v>
      </c>
    </row>
    <row r="33" spans="9:16" x14ac:dyDescent="0.35">
      <c r="I33" s="48" t="str">
        <f ca="1"/>
        <v>MEKANİK</v>
      </c>
      <c r="J33" s="49">
        <f ca="1"/>
        <v>27</v>
      </c>
      <c r="K33" s="49" t="str">
        <f ca="1"/>
        <v>HPL 7 APHE H 2x1 50 4.3 73</v>
      </c>
      <c r="L33" s="49" t="str">
        <f ca="1"/>
        <v>R09HPL0721504</v>
      </c>
      <c r="M33" s="49" t="str">
        <f ca="1"/>
        <v>Adet</v>
      </c>
      <c r="N33" s="49">
        <f ca="1"/>
        <v>1</v>
      </c>
      <c r="O33" s="49">
        <f ca="1"/>
        <v>599.29999999999995</v>
      </c>
      <c r="P33" s="50">
        <f ca="1"/>
        <v>599.29999999999995</v>
      </c>
    </row>
    <row r="34" spans="9:16" x14ac:dyDescent="0.35">
      <c r="I34" s="48" t="str">
        <f ca="1"/>
        <v>MEKANİK</v>
      </c>
      <c r="J34" s="49">
        <f ca="1"/>
        <v>28</v>
      </c>
      <c r="K34" s="49" t="str">
        <f ca="1"/>
        <v>HPL 7 ISITICI 32x28-1/2 C S 12T 2R 615A 3P 2NC</v>
      </c>
      <c r="L34" s="49" t="str">
        <f ca="1"/>
        <v>R063228122615</v>
      </c>
      <c r="M34" s="49" t="str">
        <f ca="1"/>
        <v>Adet</v>
      </c>
      <c r="N34" s="49">
        <f ca="1"/>
        <v>1</v>
      </c>
      <c r="O34" s="49">
        <f ca="1"/>
        <v>250</v>
      </c>
      <c r="P34" s="50">
        <f ca="1"/>
        <v>250</v>
      </c>
    </row>
    <row r="35" spans="9:16" x14ac:dyDescent="0.35">
      <c r="I35" s="48" t="str">
        <f ca="1"/>
        <v>MEKANİK</v>
      </c>
      <c r="J35" s="49">
        <f ca="1"/>
        <v>29</v>
      </c>
      <c r="K35" s="49" t="str">
        <f ca="1"/>
        <v>HPL 7 CND F 32x28-12 C S 15T 4R 610A 2.4P 6NC</v>
      </c>
      <c r="L35" s="49" t="str">
        <f ca="1"/>
        <v>R063228154610</v>
      </c>
      <c r="M35" s="49" t="str">
        <f ca="1"/>
        <v>Adet</v>
      </c>
      <c r="N35" s="49">
        <f ca="1"/>
        <v>1</v>
      </c>
      <c r="O35" s="49">
        <f ca="1"/>
        <v>450</v>
      </c>
      <c r="P35" s="50">
        <f ca="1"/>
        <v>450</v>
      </c>
    </row>
    <row r="36" spans="9:16" x14ac:dyDescent="0.35">
      <c r="I36" s="48" t="str">
        <f ca="1"/>
        <v>MEKANİK</v>
      </c>
      <c r="J36" s="49">
        <f ca="1"/>
        <v>30</v>
      </c>
      <c r="K36" s="49" t="str">
        <f ca="1"/>
        <v>HPL 7 EVP F 32x28-12 C S 15T 6R 610A 2.1P 5NC</v>
      </c>
      <c r="L36" s="49" t="str">
        <f ca="1"/>
        <v>R063228121566</v>
      </c>
      <c r="M36" s="49" t="str">
        <f ca="1"/>
        <v>Adet</v>
      </c>
      <c r="N36" s="49">
        <f ca="1"/>
        <v>1</v>
      </c>
      <c r="O36" s="49">
        <f ca="1"/>
        <v>400</v>
      </c>
      <c r="P36" s="50">
        <f ca="1"/>
        <v>400</v>
      </c>
    </row>
    <row r="37" spans="9:16" x14ac:dyDescent="0.35">
      <c r="I37" s="48" t="str">
        <f ca="1"/>
        <v>MEKANİK</v>
      </c>
      <c r="J37" s="49">
        <f ca="1"/>
        <v>31</v>
      </c>
      <c r="K37" s="49" t="str">
        <f ca="1"/>
        <v>COMPACT F7 FİLTRE 450x304x98</v>
      </c>
      <c r="L37" s="49" t="str">
        <f ca="1"/>
        <v>R17F745030498</v>
      </c>
      <c r="M37" s="49" t="str">
        <f ca="1"/>
        <v>Adet</v>
      </c>
      <c r="N37" s="49">
        <f ca="1"/>
        <v>1</v>
      </c>
      <c r="O37" s="49">
        <f ca="1"/>
        <v>23.06</v>
      </c>
      <c r="P37" s="50">
        <f ca="1"/>
        <v>23.06</v>
      </c>
    </row>
    <row r="38" spans="9:16" x14ac:dyDescent="0.35">
      <c r="I38" s="48" t="str">
        <f ca="1"/>
        <v>MEKANİK</v>
      </c>
      <c r="J38" s="49">
        <f ca="1"/>
        <v>32</v>
      </c>
      <c r="K38" s="49" t="str">
        <f ca="1"/>
        <v>COMPACT F7 FİLTRE 450x457x98</v>
      </c>
      <c r="L38" s="49" t="str">
        <f ca="1"/>
        <v>R17F745045798</v>
      </c>
      <c r="M38" s="49" t="str">
        <f ca="1"/>
        <v>Adet</v>
      </c>
      <c r="N38" s="49">
        <f ca="1"/>
        <v>1</v>
      </c>
      <c r="O38" s="49">
        <f ca="1"/>
        <v>28.23</v>
      </c>
      <c r="P38" s="50">
        <f ca="1"/>
        <v>28.23</v>
      </c>
    </row>
    <row r="39" spans="9:16" x14ac:dyDescent="0.35">
      <c r="I39" s="48" t="str">
        <f ca="1"/>
        <v>MEKANİK</v>
      </c>
      <c r="J39" s="49">
        <f ca="1"/>
        <v>33</v>
      </c>
      <c r="K39" s="49" t="str">
        <f ca="1"/>
        <v>COMPACT M5 FİLTRE 450x304x98</v>
      </c>
      <c r="L39" s="49" t="str">
        <f ca="1"/>
        <v>R17M545030498</v>
      </c>
      <c r="M39" s="49" t="str">
        <f ca="1"/>
        <v>Adet</v>
      </c>
      <c r="N39" s="49">
        <f ca="1"/>
        <v>1</v>
      </c>
      <c r="O39" s="49">
        <f ca="1"/>
        <v>22.12</v>
      </c>
      <c r="P39" s="50">
        <f ca="1"/>
        <v>22.12</v>
      </c>
    </row>
    <row r="40" spans="9:16" x14ac:dyDescent="0.35">
      <c r="I40" s="48" t="str">
        <f ca="1"/>
        <v>MEKANİK</v>
      </c>
      <c r="J40" s="49">
        <f ca="1"/>
        <v>34</v>
      </c>
      <c r="K40" s="49" t="str">
        <f ca="1"/>
        <v>COMPACT M5 FİLTRE 450x457x98</v>
      </c>
      <c r="L40" s="49" t="str">
        <f ca="1"/>
        <v>R17M545045798</v>
      </c>
      <c r="M40" s="49" t="str">
        <f ca="1"/>
        <v>Adet</v>
      </c>
      <c r="N40" s="49">
        <f ca="1"/>
        <v>1</v>
      </c>
      <c r="O40" s="49">
        <f ca="1"/>
        <v>27.29</v>
      </c>
      <c r="P40" s="50">
        <f ca="1"/>
        <v>27.29</v>
      </c>
    </row>
    <row r="41" spans="9:16" x14ac:dyDescent="0.35">
      <c r="I41" s="48" t="str">
        <f ca="1"/>
        <v>MEKANİK</v>
      </c>
      <c r="J41" s="49">
        <f ca="1"/>
        <v>35</v>
      </c>
      <c r="K41" s="49" t="str">
        <f ca="1"/>
        <v>30X30 GALVANİZ KUTU PROFİL</v>
      </c>
      <c r="L41" s="49" t="str">
        <f ca="1"/>
        <v>R02KP13300000</v>
      </c>
      <c r="M41" s="49" t="str">
        <f ca="1"/>
        <v>Metre</v>
      </c>
      <c r="N41" s="49">
        <f ca="1"/>
        <v>12.5</v>
      </c>
      <c r="O41" s="49">
        <f ca="1"/>
        <v>1.27</v>
      </c>
      <c r="P41" s="50">
        <f ca="1"/>
        <v>15.875</v>
      </c>
    </row>
    <row r="42" spans="9:16" x14ac:dyDescent="0.35">
      <c r="I42" s="48" t="str">
        <f ca="1"/>
        <v>MEKANİK</v>
      </c>
      <c r="J42" s="49">
        <f ca="1"/>
        <v>36</v>
      </c>
      <c r="K42" s="49" t="str">
        <f ca="1"/>
        <v>30X50 GALVANİZ KUTU PROFİL</v>
      </c>
      <c r="L42" s="49" t="str">
        <f ca="1"/>
        <v>R02KP13500000</v>
      </c>
      <c r="M42" s="49" t="str">
        <f ca="1"/>
        <v>Metre</v>
      </c>
      <c r="N42" s="49">
        <f ca="1"/>
        <v>5.52</v>
      </c>
      <c r="O42" s="49">
        <f ca="1"/>
        <v>1.74</v>
      </c>
      <c r="P42" s="50">
        <f ca="1"/>
        <v>9.6047999999999991</v>
      </c>
    </row>
    <row r="43" spans="9:16" x14ac:dyDescent="0.35">
      <c r="I43" s="48" t="str">
        <f ca="1"/>
        <v>MEKANİK</v>
      </c>
      <c r="J43" s="49">
        <f ca="1"/>
        <v>37</v>
      </c>
      <c r="K43" s="49" t="str">
        <f ca="1"/>
        <v>30X60 GALVANİZ KUTU PROFİL</v>
      </c>
      <c r="L43" s="49" t="str">
        <f ca="1"/>
        <v>R02KP13600000</v>
      </c>
      <c r="M43" s="49" t="str">
        <f ca="1"/>
        <v>Metre</v>
      </c>
      <c r="N43" s="49">
        <f ca="1"/>
        <v>19.5</v>
      </c>
      <c r="O43" s="49">
        <f ca="1"/>
        <v>1.95</v>
      </c>
      <c r="P43" s="50">
        <f ca="1"/>
        <v>38.024999999999999</v>
      </c>
    </row>
    <row r="44" spans="9:16" x14ac:dyDescent="0.35">
      <c r="I44" s="48" t="str">
        <f ca="1"/>
        <v>MEKANİK</v>
      </c>
      <c r="J44" s="49">
        <f ca="1"/>
        <v>38</v>
      </c>
      <c r="K44" s="49" t="str">
        <f ca="1"/>
        <v>3.00 MM Z275 DX51 PLAKA SAC</v>
      </c>
      <c r="L44" s="49" t="str">
        <f ca="1"/>
        <v>R01GL30000275</v>
      </c>
      <c r="M44" s="49" t="str">
        <f ca="1"/>
        <v>Kg</v>
      </c>
      <c r="N44" s="49">
        <f ca="1"/>
        <v>66.5</v>
      </c>
      <c r="O44" s="49">
        <f ca="1"/>
        <v>0.79</v>
      </c>
      <c r="P44" s="50">
        <f ca="1"/>
        <v>52.535000000000004</v>
      </c>
    </row>
    <row r="45" spans="9:16" x14ac:dyDescent="0.35">
      <c r="I45" s="48" t="str">
        <f ca="1"/>
        <v>MEKANİK</v>
      </c>
      <c r="J45" s="49">
        <f ca="1"/>
        <v>39</v>
      </c>
      <c r="K45" s="49" t="str">
        <f ca="1"/>
        <v>2.00 MM Z275 DX51 PLAKA SAC</v>
      </c>
      <c r="L45" s="49" t="str">
        <f ca="1"/>
        <v>R01GL20000275</v>
      </c>
      <c r="M45" s="49" t="str">
        <f ca="1"/>
        <v>Kg</v>
      </c>
      <c r="N45" s="49">
        <f ca="1"/>
        <v>55</v>
      </c>
      <c r="O45" s="49">
        <f ca="1"/>
        <v>0.8</v>
      </c>
      <c r="P45" s="50">
        <f ca="1"/>
        <v>44</v>
      </c>
    </row>
    <row r="46" spans="9:16" x14ac:dyDescent="0.35">
      <c r="I46" s="48" t="str">
        <f ca="1"/>
        <v>MEKANİK</v>
      </c>
      <c r="J46" s="49">
        <f ca="1"/>
        <v>40</v>
      </c>
      <c r="K46" s="49" t="str">
        <f ca="1"/>
        <v>1.20 mm Z275 DX51 PLAKA SAC</v>
      </c>
      <c r="L46" s="49" t="str">
        <f ca="1"/>
        <v>R01GL36000275</v>
      </c>
      <c r="M46" s="49" t="str">
        <f ca="1"/>
        <v>Kg</v>
      </c>
      <c r="N46" s="49">
        <f ca="1"/>
        <v>10</v>
      </c>
      <c r="O46" s="49">
        <f ca="1"/>
        <v>0.85</v>
      </c>
      <c r="P46" s="50">
        <f ca="1"/>
        <v>8.5</v>
      </c>
    </row>
    <row r="47" spans="9:16" x14ac:dyDescent="0.35">
      <c r="I47" s="48" t="str">
        <f ca="1"/>
        <v>MEKANİK</v>
      </c>
      <c r="J47" s="49">
        <f ca="1"/>
        <v>41</v>
      </c>
      <c r="K47" s="49" t="str">
        <f ca="1"/>
        <v>0.90 mm Z275 DX51 Rulo Sac</v>
      </c>
      <c r="L47" s="49" t="str">
        <f ca="1"/>
        <v>R01GL09000275</v>
      </c>
      <c r="M47" s="49" t="str">
        <f ca="1"/>
        <v>Kg</v>
      </c>
      <c r="N47" s="49">
        <f ca="1"/>
        <v>8</v>
      </c>
      <c r="O47" s="49">
        <f ca="1"/>
        <v>0.87</v>
      </c>
      <c r="P47" s="50">
        <f ca="1"/>
        <v>6.96</v>
      </c>
    </row>
    <row r="48" spans="9:16" x14ac:dyDescent="0.35">
      <c r="I48" s="48" t="str">
        <f ca="1"/>
        <v>MEKANİK</v>
      </c>
      <c r="J48" s="49">
        <f ca="1"/>
        <v>42</v>
      </c>
      <c r="K48" s="49" t="str">
        <f ca="1"/>
        <v>0.80 mm 304 Paslanmaz Nitto 9205 Pvc Kaplamalı Rulo Sac</v>
      </c>
      <c r="L48" s="49" t="str">
        <f ca="1"/>
        <v>R01PS08000000</v>
      </c>
      <c r="M48" s="49" t="str">
        <f ca="1"/>
        <v>Kg</v>
      </c>
      <c r="N48" s="49">
        <f ca="1"/>
        <v>14</v>
      </c>
      <c r="O48" s="49">
        <f ca="1"/>
        <v>2.3199999999999998</v>
      </c>
      <c r="P48" s="50">
        <f ca="1"/>
        <v>32.479999999999997</v>
      </c>
    </row>
    <row r="49" spans="9:16" x14ac:dyDescent="0.35">
      <c r="I49" s="48" t="str">
        <f ca="1"/>
        <v>MEKANİK</v>
      </c>
      <c r="J49" s="49">
        <f ca="1"/>
        <v>43</v>
      </c>
      <c r="K49" s="49" t="str">
        <f ca="1"/>
        <v>0,8 mm Z275 DX51 RAL7035 Boyalı Rulo Sac</v>
      </c>
      <c r="L49" s="49" t="str">
        <f ca="1"/>
        <v>R01B080000001</v>
      </c>
      <c r="M49" s="49" t="str">
        <f ca="1"/>
        <v>Kg</v>
      </c>
      <c r="N49" s="49">
        <f ca="1"/>
        <v>175.5</v>
      </c>
      <c r="O49" s="49">
        <f ca="1"/>
        <v>1.07</v>
      </c>
      <c r="P49" s="50">
        <f ca="1"/>
        <v>187.78500000000003</v>
      </c>
    </row>
    <row r="50" spans="9:16" x14ac:dyDescent="0.35">
      <c r="I50" s="48" t="str">
        <f ca="1"/>
        <v>MEKANİK</v>
      </c>
      <c r="J50" s="49">
        <f ca="1"/>
        <v>44</v>
      </c>
      <c r="K50" s="49" t="str">
        <f ca="1"/>
        <v>30X30_KOSE_BAGLANTI</v>
      </c>
      <c r="L50" s="49" t="str">
        <f ca="1"/>
        <v>R03KK03000000</v>
      </c>
      <c r="M50" s="49" t="str">
        <f ca="1"/>
        <v>Adet</v>
      </c>
      <c r="N50" s="49">
        <f ca="1"/>
        <v>4</v>
      </c>
      <c r="O50" s="49">
        <f ca="1"/>
        <v>0</v>
      </c>
      <c r="P50" s="50">
        <f ca="1"/>
        <v>0</v>
      </c>
    </row>
    <row r="51" spans="9:16" x14ac:dyDescent="0.35">
      <c r="I51" s="48" t="str">
        <f ca="1"/>
        <v>MEKANİK</v>
      </c>
      <c r="J51" s="49">
        <f ca="1"/>
        <v>45</v>
      </c>
      <c r="K51" s="49" t="str">
        <f ca="1"/>
        <v>30X60_KOSE_BAGLANTI</v>
      </c>
      <c r="L51" s="49" t="str">
        <f ca="1"/>
        <v>R03KK06000000</v>
      </c>
      <c r="M51" s="49" t="str">
        <f ca="1"/>
        <v>Adet</v>
      </c>
      <c r="N51" s="49">
        <f ca="1"/>
        <v>4</v>
      </c>
      <c r="O51" s="49">
        <f ca="1"/>
        <v>0</v>
      </c>
      <c r="P51" s="50">
        <f ca="1"/>
        <v>0</v>
      </c>
    </row>
    <row r="52" spans="9:16" x14ac:dyDescent="0.35">
      <c r="I52" s="48" t="str">
        <f ca="1"/>
        <v>MEKANİK</v>
      </c>
      <c r="J52" s="49">
        <f ca="1"/>
        <v>46</v>
      </c>
      <c r="K52" s="49" t="str">
        <f ca="1"/>
        <v>KAYA YÜNÜ 50MM-70KG/M3</v>
      </c>
      <c r="L52" s="49" t="str">
        <f ca="1"/>
        <v>R10YN17000002</v>
      </c>
      <c r="M52" s="49" t="str">
        <f ca="1"/>
        <v>Adet</v>
      </c>
      <c r="N52" s="49">
        <f ca="1"/>
        <v>20.9</v>
      </c>
      <c r="O52" s="49">
        <f ca="1"/>
        <v>3</v>
      </c>
      <c r="P52" s="50">
        <f ca="1"/>
        <v>62.699999999999996</v>
      </c>
    </row>
    <row r="53" spans="9:16" x14ac:dyDescent="0.35">
      <c r="I53" s="48" t="str">
        <f ca="1"/>
        <v>MEKANİK</v>
      </c>
      <c r="J53" s="49">
        <f ca="1"/>
        <v>47</v>
      </c>
      <c r="K53" s="49" t="str">
        <f ca="1"/>
        <v>FL-NG Panel Çıtası Siyah</v>
      </c>
      <c r="L53" s="49" t="str">
        <f ca="1"/>
        <v>R04NFLPVCPC0S</v>
      </c>
      <c r="M53" s="49" t="str">
        <f ca="1"/>
        <v>Metre</v>
      </c>
      <c r="N53" s="49">
        <f ca="1"/>
        <v>67</v>
      </c>
      <c r="O53" s="49">
        <f ca="1"/>
        <v>1.1200000000000001</v>
      </c>
      <c r="P53" s="50">
        <f ca="1"/>
        <v>75.040000000000006</v>
      </c>
    </row>
    <row r="54" spans="9:16" x14ac:dyDescent="0.35">
      <c r="I54" s="48" t="str">
        <f ca="1"/>
        <v>MEKANİK</v>
      </c>
      <c r="J54" s="49">
        <f ca="1"/>
        <v>48</v>
      </c>
      <c r="K54" s="49" t="str">
        <f ca="1"/>
        <v>FL-NG Panel Köşe Siyah</v>
      </c>
      <c r="L54" s="49" t="str">
        <f ca="1"/>
        <v>R04NFLPVCPKPS</v>
      </c>
      <c r="M54" s="49" t="str">
        <f ca="1"/>
        <v>Adet</v>
      </c>
      <c r="N54" s="49">
        <f ca="1"/>
        <v>84</v>
      </c>
      <c r="O54" s="49">
        <f ca="1"/>
        <v>1.1200000000000001</v>
      </c>
      <c r="P54" s="50">
        <f ca="1"/>
        <v>94.080000000000013</v>
      </c>
    </row>
    <row r="55" spans="9:16" x14ac:dyDescent="0.35">
      <c r="I55" s="48" t="str">
        <f ca="1"/>
        <v>MEKANİK</v>
      </c>
      <c r="J55" s="49">
        <f ca="1"/>
        <v>49</v>
      </c>
      <c r="K55" s="49" t="str">
        <f ca="1"/>
        <v>Siyah Hijyenline Servis Çıtası (626979)</v>
      </c>
      <c r="L55" s="49" t="str">
        <f ca="1"/>
        <v>R04CT01H0000S</v>
      </c>
      <c r="M55" s="49" t="str">
        <f ca="1"/>
        <v>Metre</v>
      </c>
      <c r="N55" s="49">
        <f ca="1"/>
        <v>13</v>
      </c>
      <c r="O55" s="49">
        <f ca="1"/>
        <v>2.21</v>
      </c>
      <c r="P55" s="50">
        <f ca="1"/>
        <v>28.73</v>
      </c>
    </row>
    <row r="56" spans="9:16" x14ac:dyDescent="0.35">
      <c r="I56" s="48" t="str">
        <f ca="1"/>
        <v>MEKANİK</v>
      </c>
      <c r="J56" s="49">
        <f ca="1"/>
        <v>50</v>
      </c>
      <c r="K56" s="49" t="str">
        <f ca="1"/>
        <v>Kilitsiz Klimaflex Kapı Kolu</v>
      </c>
      <c r="L56" s="49" t="str">
        <f ca="1"/>
        <v>R19KK2651400</v>
      </c>
      <c r="M56" s="49" t="str">
        <f ca="1"/>
        <v>Adet</v>
      </c>
      <c r="N56" s="49">
        <f ca="1"/>
        <v>16</v>
      </c>
      <c r="O56" s="49">
        <f ca="1"/>
        <v>2.17</v>
      </c>
      <c r="P56" s="50">
        <f ca="1"/>
        <v>34.72</v>
      </c>
    </row>
    <row r="57" spans="9:16" x14ac:dyDescent="0.35">
      <c r="I57" s="48" t="str">
        <f ca="1"/>
        <v>MEKANİK</v>
      </c>
      <c r="J57" s="49">
        <f ca="1"/>
        <v>51</v>
      </c>
      <c r="K57" s="49" t="str">
        <f ca="1"/>
        <v>M6 ALTIGEN PERÇİN SOMUN TAM AKB</v>
      </c>
      <c r="L57" s="49" t="str">
        <f ca="1"/>
        <v>R160TAKB0PSM6</v>
      </c>
      <c r="M57" s="49" t="str">
        <f ca="1"/>
        <v>Adet</v>
      </c>
      <c r="N57" s="49">
        <f ca="1"/>
        <v>8</v>
      </c>
      <c r="O57" s="49">
        <f ca="1"/>
        <v>0.03</v>
      </c>
      <c r="P57" s="50">
        <f ca="1"/>
        <v>0.24</v>
      </c>
    </row>
    <row r="58" spans="9:16" x14ac:dyDescent="0.35">
      <c r="I58" s="48" t="str">
        <f ca="1"/>
        <v>MEKANİK</v>
      </c>
      <c r="J58" s="49">
        <f ca="1"/>
        <v>52</v>
      </c>
      <c r="K58" s="49" t="str">
        <f ca="1"/>
        <v>M6 BAKALİT BAŞLI CİVATA</v>
      </c>
      <c r="L58" s="49" t="str">
        <f ca="1"/>
        <v>R16C0M6010000</v>
      </c>
      <c r="M58" s="49" t="str">
        <f ca="1"/>
        <v>Adet</v>
      </c>
      <c r="N58" s="49">
        <f ca="1"/>
        <v>8</v>
      </c>
      <c r="O58" s="49">
        <f ca="1"/>
        <v>0.5</v>
      </c>
      <c r="P58" s="50">
        <f ca="1"/>
        <v>4</v>
      </c>
    </row>
    <row r="59" spans="9:16" x14ac:dyDescent="0.35">
      <c r="I59" s="48" t="str">
        <f ca="1"/>
        <v>MEKANİK</v>
      </c>
      <c r="J59" s="49">
        <f ca="1"/>
        <v>53</v>
      </c>
      <c r="K59" s="49" t="str">
        <f ca="1"/>
        <v>KABLO GECIS LASTIGI</v>
      </c>
      <c r="L59" s="49" t="str">
        <f ca="1"/>
        <v>R21GR12000002</v>
      </c>
      <c r="M59" s="49" t="str">
        <f ca="1"/>
        <v>Adet</v>
      </c>
      <c r="N59" s="49">
        <f ca="1"/>
        <v>1</v>
      </c>
      <c r="O59" s="49">
        <f ca="1"/>
        <v>0.13</v>
      </c>
      <c r="P59" s="50">
        <f ca="1"/>
        <v>0.13</v>
      </c>
    </row>
    <row r="60" spans="9:16" x14ac:dyDescent="0.35">
      <c r="I60" s="48" t="str">
        <f ca="1"/>
        <v>MEKANİK</v>
      </c>
      <c r="J60" s="49">
        <f ca="1"/>
        <v>54</v>
      </c>
      <c r="K60" s="49" t="str">
        <f ca="1"/>
        <v>Hidrolik Boru kelepçesi CM01M001P1YG1009.5</v>
      </c>
      <c r="L60" s="49" t="str">
        <f ca="1"/>
        <v>R21CM10095001</v>
      </c>
      <c r="M60" s="49" t="str">
        <f ca="1"/>
        <v>Adet</v>
      </c>
      <c r="N60" s="49">
        <f ca="1"/>
        <v>2</v>
      </c>
      <c r="O60" s="49">
        <f ca="1"/>
        <v>0</v>
      </c>
      <c r="P60" s="50">
        <f ca="1"/>
        <v>0</v>
      </c>
    </row>
    <row r="61" spans="9:16" x14ac:dyDescent="0.35">
      <c r="I61" s="48" t="str">
        <f ca="1"/>
        <v>OTOMASYON</v>
      </c>
      <c r="J61" s="49">
        <f ca="1"/>
        <v>55</v>
      </c>
      <c r="K61" s="49" t="str">
        <f ca="1"/>
        <v xml:space="preserve">REFNOX Alçak Basınç Swtich WPS-03L059/1,7G2,7G </v>
      </c>
      <c r="L61" s="49" t="str">
        <f ca="1"/>
        <v>R27ABS00R1737</v>
      </c>
      <c r="M61" s="49" t="str">
        <f ca="1"/>
        <v>Adet</v>
      </c>
      <c r="N61" s="49">
        <f ca="1"/>
        <v>1</v>
      </c>
      <c r="O61" s="49">
        <f ca="1"/>
        <v>4.76</v>
      </c>
      <c r="P61" s="50">
        <f ca="1"/>
        <v>4.76</v>
      </c>
    </row>
    <row r="62" spans="9:16" x14ac:dyDescent="0.35">
      <c r="I62" s="48" t="str">
        <f ca="1"/>
        <v>OTOMASYON</v>
      </c>
      <c r="J62" s="49">
        <f ca="1"/>
        <v>56</v>
      </c>
      <c r="K62" s="49" t="str">
        <f ca="1"/>
        <v>REFNOX Yüksek Basınç Swtich WPS-03H059/42R33R</v>
      </c>
      <c r="L62" s="49" t="str">
        <f ca="1"/>
        <v>R27YBS00R4232</v>
      </c>
      <c r="M62" s="49" t="str">
        <f ca="1"/>
        <v>Adet</v>
      </c>
      <c r="N62" s="49">
        <f ca="1"/>
        <v>1</v>
      </c>
      <c r="O62" s="49">
        <f ca="1"/>
        <v>4.76</v>
      </c>
      <c r="P62" s="50">
        <f ca="1"/>
        <v>4.76</v>
      </c>
    </row>
    <row r="63" spans="9:16" x14ac:dyDescent="0.35">
      <c r="I63" s="48" t="str">
        <f ca="1"/>
        <v>OTOMASYON</v>
      </c>
      <c r="J63" s="49">
        <f ca="1"/>
        <v>57</v>
      </c>
      <c r="K63" s="49" t="str">
        <f ca="1"/>
        <v>CAREL E2V18FSFC0 ELECTRONIC EXPANSION VALVE E2V18-F 12-12 ODF W/O STATOR</v>
      </c>
      <c r="L63" s="49" t="str">
        <f ca="1"/>
        <v>R27CRLE2V1812</v>
      </c>
      <c r="M63" s="49" t="str">
        <f ca="1"/>
        <v>Adet</v>
      </c>
      <c r="N63" s="49">
        <f ca="1"/>
        <v>1</v>
      </c>
      <c r="O63" s="49">
        <f ca="1"/>
        <v>77.459999999999994</v>
      </c>
      <c r="P63" s="50">
        <f ca="1"/>
        <v>77.459999999999994</v>
      </c>
    </row>
    <row r="64" spans="9:16" x14ac:dyDescent="0.35">
      <c r="I64" s="48" t="str">
        <f ca="1"/>
        <v>OTOMASYON</v>
      </c>
      <c r="J64" s="49">
        <f ca="1"/>
        <v>58</v>
      </c>
      <c r="K64" s="49" t="str">
        <f ca="1"/>
        <v>CAREL E2VSTA0201 BIPOLAR STATOR FOR E2VB</v>
      </c>
      <c r="L64" s="49" t="str">
        <f ca="1"/>
        <v>R27E2V0220100</v>
      </c>
      <c r="M64" s="49" t="str">
        <f ca="1"/>
        <v>Adet</v>
      </c>
      <c r="N64" s="49">
        <f ca="1"/>
        <v>1</v>
      </c>
      <c r="O64" s="49">
        <f ca="1"/>
        <v>40.53</v>
      </c>
      <c r="P64" s="50">
        <f ca="1"/>
        <v>40.53</v>
      </c>
    </row>
    <row r="65" spans="9:16" x14ac:dyDescent="0.35">
      <c r="I65" s="48" t="str">
        <f ca="1"/>
        <v>OTOMASYON</v>
      </c>
      <c r="J65" s="49">
        <f ca="1"/>
        <v>59</v>
      </c>
      <c r="K65" s="49" t="str">
        <f ca="1"/>
        <v>CAREL SPKT00B6P0 PRESS.TRASD.0-5V</v>
      </c>
      <c r="L65" s="49" t="str">
        <f ca="1"/>
        <v>R27CL02250001</v>
      </c>
      <c r="M65" s="49" t="str">
        <f ca="1"/>
        <v>Adet</v>
      </c>
      <c r="N65" s="49">
        <f ca="1"/>
        <v>1</v>
      </c>
      <c r="O65" s="49">
        <f ca="1"/>
        <v>46.47</v>
      </c>
      <c r="P65" s="50">
        <f ca="1"/>
        <v>46.47</v>
      </c>
    </row>
    <row r="66" spans="9:16" x14ac:dyDescent="0.35">
      <c r="I66" s="48" t="str">
        <f ca="1"/>
        <v>OTOMASYON</v>
      </c>
      <c r="J66" s="49">
        <f ca="1"/>
        <v>60</v>
      </c>
      <c r="K66" s="49" t="str">
        <f ca="1"/>
        <v>Alçak Basınç Trans 0-5Vdc 0-17.3bar SPKT0043P0</v>
      </c>
      <c r="L66" s="49" t="str">
        <f ca="1"/>
        <v>R20SPKT0043R0</v>
      </c>
      <c r="M66" s="49" t="str">
        <f ca="1"/>
        <v>Adet</v>
      </c>
      <c r="N66" s="49">
        <f ca="1"/>
        <v>1</v>
      </c>
      <c r="O66" s="49">
        <f ca="1"/>
        <v>74.48</v>
      </c>
      <c r="P66" s="50">
        <f ca="1"/>
        <v>74.48</v>
      </c>
    </row>
    <row r="67" spans="9:16" x14ac:dyDescent="0.35">
      <c r="I67" s="48" t="str">
        <f ca="1"/>
        <v>OTOMASYON</v>
      </c>
      <c r="J67" s="49">
        <f ca="1"/>
        <v>61</v>
      </c>
      <c r="K67" s="49" t="str">
        <f ca="1"/>
        <v>CAREL P+500B0A000M0 PCO5+ MEDIUM, FB/BMS NO OPTO, NO USB</v>
      </c>
      <c r="L67" s="49" t="str">
        <f ca="1"/>
        <v>R27CP50000000</v>
      </c>
      <c r="M67" s="49" t="str">
        <f ca="1"/>
        <v>Adet</v>
      </c>
      <c r="N67" s="49">
        <f ca="1"/>
        <v>1</v>
      </c>
      <c r="O67" s="49">
        <f ca="1"/>
        <v>675.52</v>
      </c>
      <c r="P67" s="50">
        <f ca="1"/>
        <v>675.52</v>
      </c>
    </row>
    <row r="68" spans="9:16" x14ac:dyDescent="0.35">
      <c r="I68" s="48" t="str">
        <f ca="1"/>
        <v>OTOMASYON</v>
      </c>
      <c r="J68" s="49">
        <f ca="1"/>
        <v>62</v>
      </c>
      <c r="K68" s="49" t="str">
        <f ca="1"/>
        <v>CAREL CONNECTOR P+50CON0M0</v>
      </c>
      <c r="L68" s="49" t="str">
        <f ca="1"/>
        <v>R27C050000000</v>
      </c>
      <c r="M68" s="49" t="str">
        <f ca="1"/>
        <v>Adet</v>
      </c>
      <c r="N68" s="49">
        <f ca="1"/>
        <v>1</v>
      </c>
      <c r="O68" s="49">
        <f ca="1"/>
        <v>23.17</v>
      </c>
      <c r="P68" s="50">
        <f ca="1"/>
        <v>23.17</v>
      </c>
    </row>
    <row r="69" spans="9:16" x14ac:dyDescent="0.35">
      <c r="I69" s="48" t="str">
        <f ca="1"/>
        <v>OTOMASYON</v>
      </c>
      <c r="J69" s="49">
        <f ca="1"/>
        <v>63</v>
      </c>
      <c r="K69" s="49" t="str">
        <f ca="1"/>
        <v>Ekran pGD1 PGD1000FW0</v>
      </c>
      <c r="L69" s="49" t="str">
        <f ca="1"/>
        <v>R27PGD1000FW0</v>
      </c>
      <c r="M69" s="49" t="str">
        <f ca="1"/>
        <v>Adet</v>
      </c>
      <c r="N69" s="49">
        <f ca="1"/>
        <v>1</v>
      </c>
      <c r="O69" s="49">
        <f ca="1"/>
        <v>130.16</v>
      </c>
      <c r="P69" s="50">
        <f ca="1"/>
        <v>130.16</v>
      </c>
    </row>
    <row r="70" spans="9:16" x14ac:dyDescent="0.35">
      <c r="I70" s="48" t="str">
        <f ca="1"/>
        <v>OTOMASYON</v>
      </c>
      <c r="J70" s="49">
        <f ca="1"/>
        <v>64</v>
      </c>
      <c r="K70" s="49" t="str">
        <f ca="1"/>
        <v>KabloS90CONN000</v>
      </c>
      <c r="L70" s="49" t="str">
        <f ca="1"/>
        <v>R27S90CONN000</v>
      </c>
      <c r="M70" s="49" t="str">
        <f ca="1"/>
        <v>Adet</v>
      </c>
      <c r="N70" s="49">
        <f ca="1"/>
        <v>1</v>
      </c>
      <c r="O70" s="49">
        <f ca="1"/>
        <v>130.16</v>
      </c>
      <c r="P70" s="50">
        <f ca="1"/>
        <v>130.16</v>
      </c>
    </row>
    <row r="71" spans="9:16" x14ac:dyDescent="0.35">
      <c r="I71" s="48" t="str">
        <f ca="1"/>
        <v>OTOMASYON</v>
      </c>
      <c r="J71" s="49">
        <f ca="1"/>
        <v>65</v>
      </c>
      <c r="K71" s="49" t="str">
        <f ca="1"/>
        <v>SPKC005310 (5MT)</v>
      </c>
      <c r="L71" s="49" t="str">
        <f ca="1"/>
        <v>R27SPKC531000</v>
      </c>
      <c r="M71" s="49" t="str">
        <f ca="1"/>
        <v>Adet</v>
      </c>
      <c r="N71" s="49">
        <f ca="1"/>
        <v>2</v>
      </c>
      <c r="O71" s="49">
        <f ca="1"/>
        <v>4.7300000000000004</v>
      </c>
      <c r="P71" s="50">
        <f ca="1"/>
        <v>9.4600000000000009</v>
      </c>
    </row>
    <row r="72" spans="9:16" x14ac:dyDescent="0.35">
      <c r="I72" s="48" t="str">
        <f ca="1"/>
        <v>OTOMASYON</v>
      </c>
      <c r="J72" s="49">
        <f ca="1"/>
        <v>66</v>
      </c>
      <c r="K72" s="49" t="str">
        <f ca="1"/>
        <v>CAREL DPDC111000 DUCTSENSOR TEMP.-10T60GR.C.</v>
      </c>
      <c r="L72" s="49" t="str">
        <f ca="1"/>
        <v>R27DP00200309</v>
      </c>
      <c r="M72" s="49" t="str">
        <f ca="1"/>
        <v>Adet</v>
      </c>
      <c r="N72" s="49">
        <f ca="1"/>
        <v>2</v>
      </c>
      <c r="O72" s="49">
        <f ca="1"/>
        <v>155.05000000000001</v>
      </c>
      <c r="P72" s="50">
        <f ca="1"/>
        <v>310.10000000000002</v>
      </c>
    </row>
    <row r="73" spans="9:16" x14ac:dyDescent="0.35">
      <c r="I73" s="48" t="str">
        <f ca="1"/>
        <v>OTOMASYON</v>
      </c>
      <c r="J73" s="49">
        <f ca="1"/>
        <v>67</v>
      </c>
      <c r="K73" s="49" t="str">
        <f ca="1"/>
        <v xml:space="preserve">CAREL EVD0000E41 EVD EVOLUTION FOR CAREL VALVES (PLAN) MULTIPLE PACKAGE (10) </v>
      </c>
      <c r="L73" s="49" t="str">
        <f ca="1"/>
        <v>R27EVD0000041</v>
      </c>
      <c r="M73" s="49" t="str">
        <f ca="1"/>
        <v>Adet</v>
      </c>
      <c r="N73" s="49">
        <f ca="1"/>
        <v>1</v>
      </c>
      <c r="O73" s="49">
        <f ca="1"/>
        <v>238.61</v>
      </c>
      <c r="P73" s="50">
        <f ca="1"/>
        <v>238.61</v>
      </c>
    </row>
    <row r="74" spans="9:16" x14ac:dyDescent="0.35">
      <c r="I74" s="48" t="str">
        <f ca="1"/>
        <v>OTOMASYON</v>
      </c>
      <c r="J74" s="49">
        <f ca="1"/>
        <v>68</v>
      </c>
      <c r="K74" s="49" t="str">
        <f ca="1"/>
        <v>CAREL EVDCON0021 EVD EVOLUTION, CONNECTOR KIT PACK.10PCS)</v>
      </c>
      <c r="L74" s="49" t="str">
        <f ca="1"/>
        <v>R27EVD0000021</v>
      </c>
      <c r="M74" s="49" t="str">
        <f ca="1"/>
        <v>Adet</v>
      </c>
      <c r="N74" s="49">
        <f ca="1"/>
        <v>1</v>
      </c>
      <c r="O74" s="49">
        <f ca="1"/>
        <v>10.84</v>
      </c>
      <c r="P74" s="50">
        <f ca="1"/>
        <v>10.84</v>
      </c>
    </row>
    <row r="75" spans="9:16" x14ac:dyDescent="0.35">
      <c r="I75" s="48" t="str">
        <f ca="1"/>
        <v>OTOMASYON</v>
      </c>
      <c r="J75" s="49">
        <f ca="1"/>
        <v>69</v>
      </c>
      <c r="K75" s="49" t="str">
        <f ca="1"/>
        <v>CAREL E2VCAB0600 E2V SPARE PARTS CONN.&amp;CABLE OVERMOULDED ASSEMBLY 6,0M IP67</v>
      </c>
      <c r="L75" s="49" t="str">
        <f ca="1"/>
        <v>R27E2V0600000</v>
      </c>
      <c r="M75" s="49" t="str">
        <f ca="1"/>
        <v>Adet</v>
      </c>
      <c r="N75" s="49">
        <f ca="1"/>
        <v>1</v>
      </c>
      <c r="O75" s="49">
        <f ca="1"/>
        <v>22.83</v>
      </c>
      <c r="P75" s="50">
        <f ca="1"/>
        <v>22.83</v>
      </c>
    </row>
    <row r="76" spans="9:16" x14ac:dyDescent="0.35">
      <c r="I76" s="48" t="str">
        <f ca="1"/>
        <v>OTOMASYON</v>
      </c>
      <c r="J76" s="49">
        <f ca="1"/>
        <v>70</v>
      </c>
      <c r="K76" s="49" t="str">
        <f ca="1"/>
        <v>NTC Probe IP68 6 Mts. Bulb 50+100ºC NTC060WF00</v>
      </c>
      <c r="L76" s="49" t="str">
        <f ca="1"/>
        <v>R275010020001</v>
      </c>
      <c r="M76" s="49" t="str">
        <f ca="1"/>
        <v>Adet</v>
      </c>
      <c r="N76" s="49">
        <f ca="1"/>
        <v>1</v>
      </c>
      <c r="O76" s="49">
        <f ca="1"/>
        <v>0</v>
      </c>
      <c r="P76" s="50">
        <f ca="1"/>
        <v>0</v>
      </c>
    </row>
    <row r="77" spans="9:16" x14ac:dyDescent="0.35">
      <c r="I77" s="48" t="str">
        <f ca="1"/>
        <v>OTOMASYON</v>
      </c>
      <c r="J77" s="49">
        <f ca="1"/>
        <v>71</v>
      </c>
      <c r="K77" s="49" t="str">
        <f ca="1"/>
        <v>QAE2130.010</v>
      </c>
      <c r="L77" s="49" t="str">
        <f ca="1"/>
        <v>R27QAE2130010</v>
      </c>
      <c r="M77" s="49" t="str">
        <f ca="1"/>
        <v>Adet</v>
      </c>
      <c r="N77" s="49">
        <f ca="1"/>
        <v>1</v>
      </c>
      <c r="O77" s="49">
        <f ca="1"/>
        <v>0</v>
      </c>
      <c r="P77" s="50">
        <f ca="1"/>
        <v>0</v>
      </c>
    </row>
    <row r="78" spans="9:16" x14ac:dyDescent="0.35">
      <c r="I78" s="48" t="str">
        <f ca="1"/>
        <v>OTOMASYON</v>
      </c>
      <c r="J78" s="49">
        <f ca="1"/>
        <v>72</v>
      </c>
      <c r="K78" s="49" t="str">
        <f ca="1"/>
        <v>Siemens Donma Termostatı (Otomatik Reset)/ QAF65.3AR-J</v>
      </c>
      <c r="L78" s="49" t="str">
        <f ca="1"/>
        <v>R27QAF653AR01</v>
      </c>
      <c r="M78" s="49" t="str">
        <f ca="1"/>
        <v>Adet</v>
      </c>
      <c r="N78" s="49">
        <f ca="1"/>
        <v>1</v>
      </c>
      <c r="O78" s="49">
        <f ca="1"/>
        <v>0</v>
      </c>
      <c r="P78" s="50">
        <f ca="1"/>
        <v>0</v>
      </c>
    </row>
    <row r="79" spans="9:16" x14ac:dyDescent="0.35">
      <c r="I79" s="48" t="str">
        <f ca="1"/>
        <v>OTOMASYON</v>
      </c>
      <c r="J79" s="49">
        <f ca="1"/>
        <v>73</v>
      </c>
      <c r="K79" s="49" t="str">
        <f ca="1"/>
        <v>QBM9717/109C</v>
      </c>
      <c r="L79" s="49" t="str">
        <f ca="1"/>
        <v>R27QBM9717109</v>
      </c>
      <c r="M79" s="49" t="str">
        <f ca="1"/>
        <v>Adet</v>
      </c>
      <c r="N79" s="49">
        <f ca="1"/>
        <v>2</v>
      </c>
      <c r="O79" s="49">
        <f ca="1"/>
        <v>0</v>
      </c>
      <c r="P79" s="50">
        <f ca="1"/>
        <v>0</v>
      </c>
    </row>
    <row r="80" spans="9:16" x14ac:dyDescent="0.35">
      <c r="I80" s="48" t="str">
        <f ca="1"/>
        <v>OTOMASYON</v>
      </c>
      <c r="J80" s="49">
        <f ca="1"/>
        <v>74</v>
      </c>
      <c r="K80" s="49" t="str">
        <f ca="1"/>
        <v>KAPI SWİTCHİ (XCKP2145P16)</v>
      </c>
      <c r="L80" s="49" t="str">
        <f ca="1"/>
        <v>R12KS40000000</v>
      </c>
      <c r="M80" s="49" t="str">
        <f ca="1"/>
        <v>Adet</v>
      </c>
      <c r="N80" s="49">
        <f ca="1"/>
        <v>1</v>
      </c>
      <c r="O80" s="49">
        <f ca="1"/>
        <v>20</v>
      </c>
      <c r="P80" s="50">
        <f ca="1"/>
        <v>20</v>
      </c>
    </row>
    <row r="81" spans="9:16" x14ac:dyDescent="0.35">
      <c r="I81" s="48" t="str">
        <f ca="1"/>
        <v>OTOMASYON</v>
      </c>
      <c r="J81" s="49">
        <f ca="1"/>
        <v>75</v>
      </c>
      <c r="K81" s="49" t="str">
        <f ca="1"/>
        <v>LM24A-SR Damper Actuator Proportional 4nM</v>
      </c>
      <c r="L81" s="49" t="str">
        <f ca="1"/>
        <v>R27LM24ASR263</v>
      </c>
      <c r="M81" s="49" t="str">
        <f ca="1"/>
        <v>Adet</v>
      </c>
      <c r="N81" s="49">
        <f ca="1"/>
        <v>3</v>
      </c>
      <c r="O81" s="49">
        <f ca="1"/>
        <v>65.58</v>
      </c>
      <c r="P81" s="50">
        <f ca="1"/>
        <v>196.74</v>
      </c>
    </row>
    <row r="82" spans="9:16" x14ac:dyDescent="0.35">
      <c r="I82" s="48" t="str">
        <f ca="1"/>
        <v>OTOMASYON</v>
      </c>
      <c r="J82" s="49">
        <f ca="1"/>
        <v>76</v>
      </c>
      <c r="K82" s="49" t="str">
        <f ca="1"/>
        <v>LM24A-S Damper Actuator On-Off 5nM</v>
      </c>
      <c r="L82" s="49" t="str">
        <f ca="1"/>
        <v>R27DMLM24AS45</v>
      </c>
      <c r="M82" s="49" t="str">
        <f ca="1"/>
        <v>Adet</v>
      </c>
      <c r="N82" s="49">
        <f ca="1"/>
        <v>1</v>
      </c>
      <c r="O82" s="49">
        <f ca="1"/>
        <v>59.21</v>
      </c>
      <c r="P82" s="50">
        <f ca="1"/>
        <v>59.21</v>
      </c>
    </row>
    <row r="83" spans="9:16" x14ac:dyDescent="0.35">
      <c r="I83" s="48" t="str">
        <f ca="1"/>
        <v>OTOMASYON</v>
      </c>
      <c r="J83" s="49">
        <f ca="1"/>
        <v>77</v>
      </c>
      <c r="K83" s="49" t="str">
        <f ca="1"/>
        <v>DCC-LR24A-SR</v>
      </c>
      <c r="L83" s="49" t="str">
        <f ca="1"/>
        <v>R27000LR24ASR</v>
      </c>
      <c r="M83" s="49" t="str">
        <f ca="1"/>
        <v>Adet</v>
      </c>
      <c r="N83" s="49">
        <f ca="1"/>
        <v>1</v>
      </c>
      <c r="O83" s="49">
        <f ca="1"/>
        <v>77.55</v>
      </c>
      <c r="P83" s="50">
        <f ca="1"/>
        <v>77.55</v>
      </c>
    </row>
    <row r="84" spans="9:16" x14ac:dyDescent="0.35">
      <c r="I84" s="48" t="str">
        <f ca="1"/>
        <v>OTOMASYON</v>
      </c>
      <c r="J84" s="49">
        <f ca="1"/>
        <v>78</v>
      </c>
      <c r="K84" s="49" t="str">
        <f ca="1"/>
        <v>R3015-1P6-S1 3Y VANA GÖVDESİ, DN15, PN16</v>
      </c>
      <c r="L84" s="49" t="str">
        <f ca="1"/>
        <v>R27VG30153150</v>
      </c>
      <c r="M84" s="49" t="str">
        <f ca="1"/>
        <v>Adet</v>
      </c>
      <c r="N84" s="49">
        <f ca="1"/>
        <v>1</v>
      </c>
      <c r="O84" s="49">
        <f ca="1"/>
        <v>54.45</v>
      </c>
      <c r="P84" s="50">
        <f ca="1"/>
        <v>54.45</v>
      </c>
    </row>
    <row r="85" spans="9:16" x14ac:dyDescent="0.35">
      <c r="I85" s="48" t="str">
        <f ca="1"/>
        <v>OTOMASYON</v>
      </c>
      <c r="J85" s="49">
        <f ca="1"/>
        <v>79</v>
      </c>
      <c r="K85" s="49" t="str">
        <f ca="1"/>
        <v>ENGİNİA SER50 C2 600X175 BOYALI DAMPER</v>
      </c>
      <c r="L85" s="49" t="str">
        <f ca="1"/>
        <v>R3150600175B1</v>
      </c>
      <c r="M85" s="49" t="str">
        <f ca="1"/>
        <v>Adet</v>
      </c>
      <c r="N85" s="49">
        <f ca="1"/>
        <v>2</v>
      </c>
      <c r="O85" s="49">
        <f ca="1"/>
        <v>0</v>
      </c>
      <c r="P85" s="50">
        <f ca="1"/>
        <v>0</v>
      </c>
    </row>
    <row r="86" spans="9:16" x14ac:dyDescent="0.35">
      <c r="I86" s="48" t="str">
        <f ca="1"/>
        <v>OTOMASYON</v>
      </c>
      <c r="J86" s="49">
        <f ca="1"/>
        <v>80</v>
      </c>
      <c r="K86" s="49" t="str">
        <f ca="1"/>
        <v>HPL-7 PANO</v>
      </c>
      <c r="L86" s="49" t="str">
        <f ca="1"/>
        <v>PNHPL70000001</v>
      </c>
      <c r="M86" s="49" t="str">
        <f ca="1"/>
        <v>Adet</v>
      </c>
      <c r="N86" s="49">
        <f ca="1"/>
        <v>1</v>
      </c>
      <c r="O86" s="49">
        <f ca="1"/>
        <v>0</v>
      </c>
      <c r="P86" s="50">
        <f ca="1"/>
        <v>0</v>
      </c>
    </row>
    <row r="87" spans="9:16" x14ac:dyDescent="0.35">
      <c r="I87" s="48" t="str">
        <f ca="1"/>
        <v>OTOMASYON</v>
      </c>
      <c r="J87" s="49">
        <f ca="1"/>
        <v>81</v>
      </c>
      <c r="K87" s="49" t="str">
        <f ca="1"/>
        <v>HPL S 80x60x20 PANO KABINI</v>
      </c>
      <c r="L87" s="49" t="str">
        <f ca="1"/>
        <v>R14HPL8060200</v>
      </c>
      <c r="M87" s="49" t="str">
        <f ca="1"/>
        <v>Adet</v>
      </c>
      <c r="N87" s="49">
        <f ca="1"/>
        <v>1</v>
      </c>
      <c r="O87" s="49">
        <f ca="1"/>
        <v>0</v>
      </c>
      <c r="P87" s="50">
        <f ca="1"/>
        <v>0</v>
      </c>
    </row>
    <row r="88" spans="9:16" x14ac:dyDescent="0.35">
      <c r="I88" s="48" t="str">
        <f ca="1"/>
        <v>OTOMASYON</v>
      </c>
      <c r="J88" s="49">
        <f ca="1"/>
        <v>82</v>
      </c>
      <c r="K88" s="49" t="str">
        <f ca="1"/>
        <v>Halogen
free 2XSLCHJB Kablo 4x2,5mm</v>
      </c>
      <c r="L88" s="49" t="str">
        <f ca="1"/>
        <v>R12KL42500001</v>
      </c>
      <c r="M88" s="49" t="str">
        <f ca="1"/>
        <v>Metre</v>
      </c>
      <c r="N88" s="49">
        <f ca="1"/>
        <v>21</v>
      </c>
      <c r="O88" s="49">
        <f ca="1"/>
        <v>0</v>
      </c>
      <c r="P88" s="50">
        <f ca="1"/>
        <v>0</v>
      </c>
    </row>
    <row r="89" spans="9:16" x14ac:dyDescent="0.35">
      <c r="I89" s="48" t="str">
        <f ca="1"/>
        <v>OTOMASYON</v>
      </c>
      <c r="J89" s="49">
        <f ca="1"/>
        <v>83</v>
      </c>
      <c r="K89" s="49" t="str">
        <f ca="1"/>
        <v>LIHCH
KABLO 4X0,75</v>
      </c>
      <c r="L89" s="49" t="str">
        <f ca="1"/>
        <v>R12KBNKS4X075</v>
      </c>
      <c r="M89" s="49" t="str">
        <f ca="1"/>
        <v>Metre</v>
      </c>
      <c r="N89" s="49">
        <f ca="1"/>
        <v>81</v>
      </c>
      <c r="O89" s="49">
        <f ca="1"/>
        <v>0</v>
      </c>
      <c r="P89" s="50">
        <f ca="1"/>
        <v>0</v>
      </c>
    </row>
    <row r="90" spans="9:16" x14ac:dyDescent="0.35">
      <c r="I90" s="48" t="str">
        <f ca="1"/>
        <v>OTOMASYON</v>
      </c>
      <c r="J90" s="49">
        <f ca="1"/>
        <v>84</v>
      </c>
      <c r="K90" s="49" t="str">
        <f ca="1"/>
        <v>LIHCH
KABLO 2X0,75</v>
      </c>
      <c r="L90" s="49" t="str">
        <f ca="1"/>
        <v>R12KBLIHCH2X0</v>
      </c>
      <c r="M90" s="49" t="str">
        <f ca="1"/>
        <v>Metre</v>
      </c>
      <c r="N90" s="49">
        <f ca="1"/>
        <v>45</v>
      </c>
      <c r="O90" s="49">
        <f ca="1"/>
        <v>0</v>
      </c>
      <c r="P90" s="50">
        <f ca="1"/>
        <v>0</v>
      </c>
    </row>
    <row r="91" spans="9:16" x14ac:dyDescent="0.35">
      <c r="I91" s="48"/>
      <c r="J91" s="49"/>
      <c r="K91" s="49"/>
      <c r="L91" s="49"/>
      <c r="M91" s="49"/>
      <c r="N91" s="49"/>
      <c r="O91" s="49"/>
      <c r="P91" s="50"/>
    </row>
    <row r="92" spans="9:16" x14ac:dyDescent="0.35">
      <c r="I92" s="48"/>
      <c r="J92" s="49"/>
      <c r="K92" s="49"/>
      <c r="L92" s="49"/>
      <c r="M92" s="49"/>
      <c r="N92" s="49"/>
      <c r="O92" s="49"/>
      <c r="P92" s="50"/>
    </row>
    <row r="93" spans="9:16" x14ac:dyDescent="0.35">
      <c r="I93" s="48"/>
      <c r="J93" s="49"/>
      <c r="K93" s="49"/>
      <c r="L93" s="49"/>
      <c r="M93" s="49"/>
      <c r="N93" s="49"/>
      <c r="O93" s="49"/>
      <c r="P93" s="50"/>
    </row>
    <row r="94" spans="9:16" x14ac:dyDescent="0.35">
      <c r="I94" s="48"/>
      <c r="J94" s="49"/>
      <c r="K94" s="49"/>
      <c r="L94" s="49"/>
      <c r="M94" s="49"/>
      <c r="N94" s="49"/>
      <c r="O94" s="49"/>
      <c r="P94" s="50"/>
    </row>
    <row r="95" spans="9:16" x14ac:dyDescent="0.35">
      <c r="I95" s="48"/>
      <c r="J95" s="49"/>
      <c r="K95" s="49"/>
      <c r="L95" s="49"/>
      <c r="M95" s="49"/>
      <c r="N95" s="49"/>
      <c r="O95" s="49"/>
      <c r="P95" s="50"/>
    </row>
    <row r="96" spans="9:16" x14ac:dyDescent="0.35">
      <c r="I96" s="48"/>
      <c r="J96" s="49"/>
      <c r="K96" s="49"/>
      <c r="L96" s="49"/>
      <c r="M96" s="49"/>
      <c r="N96" s="49"/>
      <c r="O96" s="49"/>
      <c r="P96" s="50"/>
    </row>
    <row r="97" spans="9:16" x14ac:dyDescent="0.35">
      <c r="I97" s="48"/>
      <c r="J97" s="49"/>
      <c r="K97" s="49"/>
      <c r="L97" s="49"/>
      <c r="M97" s="49"/>
      <c r="N97" s="49"/>
      <c r="O97" s="49"/>
      <c r="P97" s="50"/>
    </row>
    <row r="98" spans="9:16" x14ac:dyDescent="0.35">
      <c r="I98" s="48"/>
      <c r="J98" s="49"/>
      <c r="K98" s="49"/>
      <c r="L98" s="49"/>
      <c r="M98" s="49"/>
      <c r="N98" s="49"/>
      <c r="O98" s="49"/>
      <c r="P98" s="50"/>
    </row>
    <row r="99" spans="9:16" x14ac:dyDescent="0.35">
      <c r="I99" s="48"/>
      <c r="J99" s="49"/>
      <c r="K99" s="49"/>
      <c r="L99" s="49"/>
      <c r="M99" s="49"/>
      <c r="N99" s="49"/>
      <c r="O99" s="49"/>
      <c r="P99" s="50"/>
    </row>
    <row r="100" spans="9:16" x14ac:dyDescent="0.35">
      <c r="I100" s="48"/>
      <c r="J100" s="49"/>
      <c r="K100" s="49"/>
      <c r="L100" s="49"/>
      <c r="M100" s="49"/>
      <c r="N100" s="49"/>
      <c r="O100" s="49"/>
      <c r="P100" s="50"/>
    </row>
    <row r="101" spans="9:16" x14ac:dyDescent="0.35">
      <c r="I101" s="48"/>
      <c r="J101" s="49"/>
      <c r="K101" s="49"/>
      <c r="L101" s="49"/>
      <c r="M101" s="49"/>
      <c r="N101" s="49"/>
      <c r="O101" s="49"/>
      <c r="P101" s="50"/>
    </row>
    <row r="102" spans="9:16" x14ac:dyDescent="0.35">
      <c r="I102" s="48"/>
      <c r="J102" s="49"/>
      <c r="K102" s="49"/>
      <c r="L102" s="49"/>
      <c r="M102" s="49"/>
      <c r="N102" s="49"/>
      <c r="O102" s="49"/>
      <c r="P102" s="50"/>
    </row>
    <row r="103" spans="9:16" x14ac:dyDescent="0.35">
      <c r="I103" s="48"/>
      <c r="J103" s="49"/>
      <c r="K103" s="49"/>
      <c r="L103" s="49"/>
      <c r="M103" s="49"/>
      <c r="N103" s="49"/>
      <c r="O103" s="49"/>
      <c r="P103" s="50"/>
    </row>
    <row r="104" spans="9:16" x14ac:dyDescent="0.35">
      <c r="I104" s="48"/>
      <c r="J104" s="49"/>
      <c r="K104" s="49"/>
      <c r="L104" s="49"/>
      <c r="M104" s="49"/>
      <c r="N104" s="49"/>
      <c r="O104" s="49"/>
      <c r="P104" s="50"/>
    </row>
    <row r="105" spans="9:16" x14ac:dyDescent="0.35">
      <c r="I105" s="48"/>
      <c r="J105" s="49"/>
      <c r="K105" s="49"/>
      <c r="L105" s="49"/>
      <c r="M105" s="49"/>
      <c r="N105" s="49"/>
      <c r="O105" s="49"/>
      <c r="P105" s="50"/>
    </row>
    <row r="106" spans="9:16" x14ac:dyDescent="0.35">
      <c r="I106" s="48"/>
      <c r="J106" s="49"/>
      <c r="K106" s="49"/>
      <c r="L106" s="49"/>
      <c r="M106" s="49"/>
      <c r="N106" s="49"/>
      <c r="O106" s="49"/>
      <c r="P106" s="50"/>
    </row>
    <row r="107" spans="9:16" x14ac:dyDescent="0.35">
      <c r="I107" s="48"/>
      <c r="J107" s="49"/>
      <c r="K107" s="49"/>
      <c r="L107" s="49"/>
      <c r="M107" s="49"/>
      <c r="N107" s="49"/>
      <c r="O107" s="49"/>
      <c r="P107" s="50"/>
    </row>
    <row r="108" spans="9:16" x14ac:dyDescent="0.35">
      <c r="I108" s="48"/>
      <c r="J108" s="49"/>
      <c r="K108" s="49"/>
      <c r="L108" s="49"/>
      <c r="M108" s="49"/>
      <c r="N108" s="49"/>
      <c r="O108" s="49"/>
      <c r="P108" s="50"/>
    </row>
    <row r="109" spans="9:16" x14ac:dyDescent="0.35">
      <c r="I109" s="48"/>
      <c r="J109" s="49"/>
      <c r="K109" s="49"/>
      <c r="L109" s="49"/>
      <c r="M109" s="49"/>
      <c r="N109" s="49"/>
      <c r="O109" s="49"/>
      <c r="P109" s="50"/>
    </row>
    <row r="110" spans="9:16" x14ac:dyDescent="0.35">
      <c r="I110" s="48"/>
      <c r="J110" s="49"/>
      <c r="K110" s="49"/>
      <c r="L110" s="49"/>
      <c r="M110" s="49"/>
      <c r="N110" s="49"/>
      <c r="O110" s="49"/>
      <c r="P110" s="50"/>
    </row>
    <row r="111" spans="9:16" x14ac:dyDescent="0.35">
      <c r="I111" s="48"/>
      <c r="J111" s="49"/>
      <c r="K111" s="49"/>
      <c r="L111" s="49"/>
      <c r="M111" s="49"/>
      <c r="N111" s="49"/>
      <c r="O111" s="49"/>
      <c r="P111" s="50"/>
    </row>
    <row r="112" spans="9:16" x14ac:dyDescent="0.35">
      <c r="I112" s="48"/>
      <c r="J112" s="49"/>
      <c r="K112" s="49"/>
      <c r="L112" s="49"/>
      <c r="M112" s="49"/>
      <c r="N112" s="49"/>
      <c r="O112" s="49"/>
      <c r="P112" s="50"/>
    </row>
    <row r="113" spans="9:16" x14ac:dyDescent="0.35">
      <c r="I113" s="48"/>
      <c r="J113" s="49"/>
      <c r="K113" s="49"/>
      <c r="L113" s="49"/>
      <c r="M113" s="49"/>
      <c r="N113" s="49"/>
      <c r="O113" s="49"/>
      <c r="P113" s="50"/>
    </row>
    <row r="114" spans="9:16" x14ac:dyDescent="0.35">
      <c r="I114" s="48"/>
      <c r="J114" s="49"/>
      <c r="K114" s="49"/>
      <c r="L114" s="49"/>
      <c r="M114" s="49"/>
      <c r="N114" s="49"/>
      <c r="O114" s="49"/>
      <c r="P114" s="50"/>
    </row>
    <row r="115" spans="9:16" x14ac:dyDescent="0.35">
      <c r="I115" s="48"/>
      <c r="J115" s="49"/>
      <c r="K115" s="49"/>
      <c r="L115" s="49"/>
      <c r="M115" s="49"/>
      <c r="N115" s="49"/>
      <c r="O115" s="49"/>
      <c r="P115" s="50"/>
    </row>
    <row r="116" spans="9:16" x14ac:dyDescent="0.35">
      <c r="I116" s="48"/>
      <c r="J116" s="49"/>
      <c r="K116" s="49"/>
      <c r="L116" s="49"/>
      <c r="M116" s="49"/>
      <c r="N116" s="49"/>
      <c r="O116" s="49"/>
      <c r="P116" s="50"/>
    </row>
    <row r="117" spans="9:16" x14ac:dyDescent="0.35">
      <c r="I117" s="48"/>
      <c r="J117" s="49"/>
      <c r="K117" s="49"/>
      <c r="L117" s="49"/>
      <c r="M117" s="49"/>
      <c r="N117" s="49"/>
      <c r="O117" s="49"/>
      <c r="P117" s="50"/>
    </row>
    <row r="118" spans="9:16" x14ac:dyDescent="0.35">
      <c r="I118" s="48"/>
      <c r="J118" s="49"/>
      <c r="K118" s="49"/>
      <c r="L118" s="49"/>
      <c r="M118" s="49"/>
      <c r="N118" s="49"/>
      <c r="O118" s="49"/>
      <c r="P118" s="50"/>
    </row>
    <row r="119" spans="9:16" x14ac:dyDescent="0.35">
      <c r="I119" s="48"/>
      <c r="J119" s="49"/>
      <c r="K119" s="49"/>
      <c r="L119" s="49"/>
      <c r="M119" s="49"/>
      <c r="N119" s="49"/>
      <c r="O119" s="49"/>
      <c r="P119" s="50"/>
    </row>
    <row r="120" spans="9:16" x14ac:dyDescent="0.35">
      <c r="I120" s="48"/>
      <c r="J120" s="49"/>
      <c r="K120" s="49"/>
      <c r="L120" s="49"/>
      <c r="M120" s="49"/>
      <c r="N120" s="49"/>
      <c r="O120" s="49"/>
      <c r="P120" s="50"/>
    </row>
    <row r="121" spans="9:16" x14ac:dyDescent="0.35">
      <c r="I121" s="48"/>
      <c r="J121" s="49"/>
      <c r="K121" s="49"/>
      <c r="L121" s="49"/>
      <c r="M121" s="49"/>
      <c r="N121" s="49"/>
      <c r="O121" s="49"/>
      <c r="P121" s="50"/>
    </row>
    <row r="122" spans="9:16" x14ac:dyDescent="0.35">
      <c r="I122" s="48"/>
      <c r="J122" s="49"/>
      <c r="K122" s="49"/>
      <c r="L122" s="49"/>
      <c r="M122" s="49"/>
      <c r="N122" s="49"/>
      <c r="O122" s="49"/>
      <c r="P122" s="50"/>
    </row>
    <row r="123" spans="9:16" x14ac:dyDescent="0.35">
      <c r="I123" s="48"/>
      <c r="J123" s="49"/>
      <c r="K123" s="49"/>
      <c r="L123" s="49"/>
      <c r="M123" s="49"/>
      <c r="N123" s="49"/>
      <c r="O123" s="49"/>
      <c r="P123" s="50"/>
    </row>
    <row r="124" spans="9:16" x14ac:dyDescent="0.35">
      <c r="I124" s="48"/>
      <c r="J124" s="49"/>
      <c r="K124" s="49"/>
      <c r="L124" s="49"/>
      <c r="M124" s="49"/>
      <c r="N124" s="49"/>
      <c r="O124" s="49"/>
      <c r="P124" s="50"/>
    </row>
    <row r="125" spans="9:16" x14ac:dyDescent="0.35">
      <c r="I125" s="48"/>
      <c r="J125" s="49"/>
      <c r="K125" s="49"/>
      <c r="L125" s="49"/>
      <c r="M125" s="49"/>
      <c r="N125" s="49"/>
      <c r="O125" s="49"/>
      <c r="P125" s="50"/>
    </row>
    <row r="126" spans="9:16" x14ac:dyDescent="0.35">
      <c r="I126" s="48"/>
      <c r="J126" s="49"/>
      <c r="K126" s="49"/>
      <c r="L126" s="49"/>
      <c r="M126" s="49"/>
      <c r="N126" s="49"/>
      <c r="O126" s="49"/>
      <c r="P126" s="50"/>
    </row>
    <row r="127" spans="9:16" x14ac:dyDescent="0.35">
      <c r="I127" s="48"/>
      <c r="J127" s="49"/>
      <c r="K127" s="49"/>
      <c r="L127" s="49"/>
      <c r="M127" s="49"/>
      <c r="N127" s="49"/>
      <c r="O127" s="49"/>
      <c r="P127" s="50"/>
    </row>
    <row r="128" spans="9:16" x14ac:dyDescent="0.35">
      <c r="I128" s="48"/>
      <c r="J128" s="49"/>
      <c r="K128" s="49"/>
      <c r="L128" s="49"/>
      <c r="M128" s="49"/>
      <c r="N128" s="49"/>
      <c r="O128" s="49"/>
      <c r="P128" s="50"/>
    </row>
    <row r="129" spans="9:16" x14ac:dyDescent="0.35">
      <c r="I129" s="48"/>
      <c r="J129" s="49"/>
      <c r="K129" s="49"/>
      <c r="L129" s="49"/>
      <c r="M129" s="49"/>
      <c r="N129" s="49"/>
      <c r="O129" s="49"/>
      <c r="P129" s="50"/>
    </row>
    <row r="130" spans="9:16" x14ac:dyDescent="0.35">
      <c r="I130" s="48"/>
      <c r="J130" s="49"/>
      <c r="K130" s="49"/>
      <c r="L130" s="49"/>
      <c r="M130" s="49"/>
      <c r="N130" s="49"/>
      <c r="O130" s="49"/>
      <c r="P130" s="50"/>
    </row>
    <row r="131" spans="9:16" x14ac:dyDescent="0.35">
      <c r="I131" s="48"/>
      <c r="J131" s="49"/>
      <c r="K131" s="49"/>
      <c r="L131" s="49"/>
      <c r="M131" s="49"/>
      <c r="N131" s="49"/>
      <c r="O131" s="49"/>
      <c r="P131" s="50"/>
    </row>
    <row r="132" spans="9:16" x14ac:dyDescent="0.35">
      <c r="I132" s="48"/>
      <c r="J132" s="49"/>
      <c r="K132" s="49"/>
      <c r="L132" s="49"/>
      <c r="M132" s="49"/>
      <c r="N132" s="49"/>
      <c r="O132" s="49"/>
      <c r="P132" s="50"/>
    </row>
    <row r="133" spans="9:16" x14ac:dyDescent="0.35">
      <c r="I133" s="48"/>
      <c r="J133" s="49"/>
      <c r="K133" s="49"/>
      <c r="L133" s="49"/>
      <c r="M133" s="49"/>
      <c r="N133" s="49"/>
      <c r="O133" s="49"/>
      <c r="P133" s="50"/>
    </row>
    <row r="134" spans="9:16" x14ac:dyDescent="0.35">
      <c r="I134" s="48"/>
      <c r="J134" s="49"/>
      <c r="K134" s="49"/>
      <c r="L134" s="49"/>
      <c r="M134" s="49"/>
      <c r="N134" s="49"/>
      <c r="O134" s="49"/>
      <c r="P134" s="50"/>
    </row>
    <row r="135" spans="9:16" x14ac:dyDescent="0.35">
      <c r="I135" s="48"/>
      <c r="J135" s="49"/>
      <c r="K135" s="49"/>
      <c r="L135" s="49"/>
      <c r="M135" s="49"/>
      <c r="N135" s="49"/>
      <c r="O135" s="49"/>
      <c r="P135" s="50"/>
    </row>
    <row r="136" spans="9:16" x14ac:dyDescent="0.35">
      <c r="I136" s="48"/>
      <c r="J136" s="49"/>
      <c r="K136" s="49"/>
      <c r="L136" s="49"/>
      <c r="M136" s="49"/>
      <c r="N136" s="49"/>
      <c r="O136" s="49"/>
      <c r="P136" s="50"/>
    </row>
    <row r="137" spans="9:16" x14ac:dyDescent="0.35">
      <c r="I137" s="48"/>
      <c r="J137" s="49"/>
      <c r="K137" s="49"/>
      <c r="L137" s="49"/>
      <c r="M137" s="49"/>
      <c r="N137" s="49"/>
      <c r="O137" s="49"/>
      <c r="P137" s="50"/>
    </row>
    <row r="138" spans="9:16" x14ac:dyDescent="0.35">
      <c r="I138" s="48"/>
      <c r="J138" s="49"/>
      <c r="K138" s="49"/>
      <c r="L138" s="49"/>
      <c r="M138" s="49"/>
      <c r="N138" s="49"/>
      <c r="O138" s="49"/>
      <c r="P138" s="50"/>
    </row>
    <row r="139" spans="9:16" x14ac:dyDescent="0.35">
      <c r="I139" s="48"/>
      <c r="J139" s="49"/>
      <c r="K139" s="49"/>
      <c r="L139" s="49"/>
      <c r="M139" s="49"/>
      <c r="N139" s="49"/>
      <c r="O139" s="49"/>
      <c r="P139" s="50"/>
    </row>
    <row r="140" spans="9:16" x14ac:dyDescent="0.35">
      <c r="I140" s="48"/>
      <c r="J140" s="49"/>
      <c r="K140" s="49"/>
      <c r="L140" s="49"/>
      <c r="M140" s="49"/>
      <c r="N140" s="49"/>
      <c r="O140" s="49"/>
      <c r="P140" s="50"/>
    </row>
    <row r="141" spans="9:16" x14ac:dyDescent="0.35">
      <c r="I141" s="48"/>
      <c r="J141" s="49"/>
      <c r="K141" s="49"/>
      <c r="L141" s="49"/>
      <c r="M141" s="49"/>
      <c r="N141" s="49"/>
      <c r="O141" s="49"/>
      <c r="P141" s="50"/>
    </row>
    <row r="142" spans="9:16" x14ac:dyDescent="0.35">
      <c r="I142" s="48"/>
      <c r="J142" s="49"/>
      <c r="K142" s="49"/>
      <c r="L142" s="49"/>
      <c r="M142" s="49"/>
      <c r="N142" s="49"/>
      <c r="O142" s="49"/>
      <c r="P142" s="50"/>
    </row>
    <row r="143" spans="9:16" x14ac:dyDescent="0.35">
      <c r="I143" s="48"/>
      <c r="J143" s="49"/>
      <c r="K143" s="49"/>
      <c r="L143" s="49"/>
      <c r="M143" s="49"/>
      <c r="N143" s="49"/>
      <c r="O143" s="49"/>
      <c r="P143" s="50"/>
    </row>
    <row r="144" spans="9:16" x14ac:dyDescent="0.35">
      <c r="I144" s="48"/>
      <c r="J144" s="49"/>
      <c r="K144" s="49"/>
      <c r="L144" s="49"/>
      <c r="M144" s="49"/>
      <c r="N144" s="49"/>
      <c r="O144" s="49"/>
      <c r="P144" s="50"/>
    </row>
    <row r="145" spans="9:16" x14ac:dyDescent="0.35">
      <c r="I145" s="48"/>
      <c r="J145" s="49"/>
      <c r="K145" s="49"/>
      <c r="L145" s="49"/>
      <c r="M145" s="49"/>
      <c r="N145" s="49"/>
      <c r="O145" s="49"/>
      <c r="P145" s="50"/>
    </row>
    <row r="146" spans="9:16" x14ac:dyDescent="0.35">
      <c r="I146" s="48"/>
      <c r="J146" s="49"/>
      <c r="K146" s="49"/>
      <c r="L146" s="49"/>
      <c r="M146" s="49"/>
      <c r="N146" s="49"/>
      <c r="O146" s="49"/>
      <c r="P146" s="50"/>
    </row>
    <row r="147" spans="9:16" x14ac:dyDescent="0.35">
      <c r="I147" s="48"/>
      <c r="J147" s="49"/>
      <c r="K147" s="49"/>
      <c r="L147" s="49"/>
      <c r="M147" s="49"/>
      <c r="N147" s="49"/>
      <c r="O147" s="49"/>
      <c r="P147" s="50"/>
    </row>
    <row r="148" spans="9:16" x14ac:dyDescent="0.35">
      <c r="I148" s="48"/>
      <c r="J148" s="49"/>
      <c r="K148" s="49"/>
      <c r="L148" s="49"/>
      <c r="M148" s="49"/>
      <c r="N148" s="49"/>
      <c r="O148" s="49"/>
      <c r="P148" s="50"/>
    </row>
    <row r="149" spans="9:16" x14ac:dyDescent="0.35">
      <c r="I149" s="48"/>
      <c r="J149" s="49"/>
      <c r="K149" s="49"/>
      <c r="L149" s="49"/>
      <c r="M149" s="49"/>
      <c r="N149" s="49"/>
      <c r="O149" s="49"/>
      <c r="P149" s="50"/>
    </row>
    <row r="150" spans="9:16" x14ac:dyDescent="0.35">
      <c r="I150" s="48"/>
      <c r="J150" s="49"/>
      <c r="K150" s="49"/>
      <c r="L150" s="49"/>
      <c r="M150" s="49"/>
      <c r="N150" s="49"/>
      <c r="O150" s="49"/>
      <c r="P150" s="50"/>
    </row>
    <row r="151" spans="9:16" x14ac:dyDescent="0.35">
      <c r="I151" s="48"/>
      <c r="J151" s="49"/>
      <c r="K151" s="49"/>
      <c r="L151" s="49"/>
      <c r="M151" s="49"/>
      <c r="N151" s="49"/>
      <c r="O151" s="49"/>
      <c r="P151" s="50"/>
    </row>
    <row r="152" spans="9:16" x14ac:dyDescent="0.35">
      <c r="I152" s="48"/>
      <c r="J152" s="49"/>
      <c r="K152" s="49"/>
      <c r="L152" s="49"/>
      <c r="M152" s="49"/>
      <c r="N152" s="49"/>
      <c r="O152" s="49"/>
      <c r="P152" s="50"/>
    </row>
    <row r="153" spans="9:16" x14ac:dyDescent="0.35">
      <c r="I153" s="48"/>
      <c r="J153" s="49"/>
      <c r="K153" s="49"/>
      <c r="L153" s="49"/>
      <c r="M153" s="49"/>
      <c r="N153" s="49"/>
      <c r="O153" s="49"/>
      <c r="P153" s="50"/>
    </row>
    <row r="154" spans="9:16" x14ac:dyDescent="0.35">
      <c r="I154" s="48"/>
      <c r="J154" s="49"/>
      <c r="K154" s="49"/>
      <c r="L154" s="49"/>
      <c r="M154" s="49"/>
      <c r="N154" s="49"/>
      <c r="O154" s="49"/>
      <c r="P154" s="50"/>
    </row>
    <row r="155" spans="9:16" x14ac:dyDescent="0.35">
      <c r="I155" s="48"/>
      <c r="J155" s="49"/>
      <c r="K155" s="49"/>
      <c r="L155" s="49"/>
      <c r="M155" s="49"/>
      <c r="N155" s="49"/>
      <c r="O155" s="49"/>
      <c r="P155" s="50"/>
    </row>
    <row r="156" spans="9:16" x14ac:dyDescent="0.35">
      <c r="I156" s="48"/>
      <c r="J156" s="49"/>
      <c r="K156" s="49"/>
      <c r="L156" s="49"/>
      <c r="M156" s="49"/>
      <c r="N156" s="49"/>
      <c r="O156" s="49"/>
      <c r="P156" s="50"/>
    </row>
    <row r="157" spans="9:16" x14ac:dyDescent="0.35">
      <c r="I157" s="48"/>
      <c r="J157" s="49"/>
      <c r="K157" s="49"/>
      <c r="L157" s="49"/>
      <c r="M157" s="49"/>
      <c r="N157" s="49"/>
      <c r="O157" s="49"/>
      <c r="P157" s="50"/>
    </row>
    <row r="158" spans="9:16" x14ac:dyDescent="0.35">
      <c r="I158" s="48"/>
      <c r="J158" s="49"/>
      <c r="K158" s="49"/>
      <c r="L158" s="49"/>
      <c r="M158" s="49"/>
      <c r="N158" s="49"/>
      <c r="O158" s="49"/>
      <c r="P158" s="50"/>
    </row>
    <row r="159" spans="9:16" x14ac:dyDescent="0.35">
      <c r="I159" s="48"/>
      <c r="J159" s="49"/>
      <c r="K159" s="49"/>
      <c r="L159" s="49"/>
      <c r="M159" s="49"/>
      <c r="N159" s="49"/>
      <c r="O159" s="49"/>
      <c r="P159" s="50"/>
    </row>
    <row r="160" spans="9:16" x14ac:dyDescent="0.35">
      <c r="I160" s="48"/>
      <c r="J160" s="49"/>
      <c r="K160" s="49"/>
      <c r="L160" s="49"/>
      <c r="M160" s="49"/>
      <c r="N160" s="49"/>
      <c r="O160" s="49"/>
      <c r="P160" s="50"/>
    </row>
    <row r="161" spans="9:16" x14ac:dyDescent="0.35">
      <c r="I161" s="48"/>
      <c r="J161" s="49"/>
      <c r="K161" s="49"/>
      <c r="L161" s="49"/>
      <c r="M161" s="49"/>
      <c r="N161" s="49"/>
      <c r="O161" s="49"/>
      <c r="P161" s="50"/>
    </row>
    <row r="162" spans="9:16" x14ac:dyDescent="0.35">
      <c r="I162" s="48"/>
      <c r="J162" s="49"/>
      <c r="K162" s="49"/>
      <c r="L162" s="49"/>
      <c r="M162" s="49"/>
      <c r="N162" s="49"/>
      <c r="O162" s="49"/>
      <c r="P162" s="50"/>
    </row>
    <row r="163" spans="9:16" x14ac:dyDescent="0.35">
      <c r="I163" s="48"/>
      <c r="J163" s="49"/>
      <c r="K163" s="49"/>
      <c r="L163" s="49"/>
      <c r="M163" s="49"/>
      <c r="N163" s="49"/>
      <c r="O163" s="49"/>
      <c r="P163" s="50"/>
    </row>
    <row r="164" spans="9:16" x14ac:dyDescent="0.35">
      <c r="I164" s="48"/>
      <c r="J164" s="49"/>
      <c r="K164" s="49"/>
      <c r="L164" s="49"/>
      <c r="M164" s="49"/>
      <c r="N164" s="49"/>
      <c r="O164" s="49"/>
      <c r="P164" s="50"/>
    </row>
    <row r="165" spans="9:16" x14ac:dyDescent="0.35">
      <c r="I165" s="48"/>
      <c r="J165" s="49"/>
      <c r="K165" s="49"/>
      <c r="L165" s="49"/>
      <c r="M165" s="49"/>
      <c r="N165" s="49"/>
      <c r="O165" s="49"/>
      <c r="P165" s="50"/>
    </row>
    <row r="166" spans="9:16" x14ac:dyDescent="0.35">
      <c r="I166" s="48"/>
      <c r="J166" s="49"/>
      <c r="K166" s="49"/>
      <c r="L166" s="49"/>
      <c r="M166" s="49"/>
      <c r="N166" s="49"/>
      <c r="O166" s="49"/>
      <c r="P166" s="50"/>
    </row>
    <row r="167" spans="9:16" ht="15.6" thickBot="1" x14ac:dyDescent="0.4">
      <c r="I167" s="51"/>
      <c r="J167" s="52"/>
      <c r="K167" s="52"/>
      <c r="L167" s="52"/>
      <c r="M167" s="52"/>
      <c r="N167" s="52"/>
      <c r="O167" s="52"/>
      <c r="P167" s="53"/>
    </row>
  </sheetData>
  <mergeCells count="2">
    <mergeCell ref="I5:P5"/>
    <mergeCell ref="N3:O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77799-6FA7-433D-84F9-84B044A1525E}">
  <sheetPr codeName="Sayfa3"/>
  <dimension ref="A2:L524"/>
  <sheetViews>
    <sheetView zoomScaleNormal="100" workbookViewId="0">
      <selection activeCell="D4" sqref="D4"/>
    </sheetView>
  </sheetViews>
  <sheetFormatPr defaultRowHeight="15" x14ac:dyDescent="0.3"/>
  <cols>
    <col min="1" max="1" width="8.77734375" style="3" customWidth="1"/>
    <col min="2" max="2" width="81.88671875" style="5" bestFit="1" customWidth="1"/>
    <col min="3" max="3" width="28.44140625" style="5" bestFit="1" customWidth="1"/>
    <col min="4" max="4" width="12.77734375" style="79" customWidth="1"/>
    <col min="5" max="5" width="15.21875" bestFit="1" customWidth="1"/>
    <col min="8" max="8" width="25.6640625" bestFit="1" customWidth="1"/>
    <col min="10" max="10" width="52.5546875" bestFit="1" customWidth="1"/>
    <col min="11" max="11" width="17" bestFit="1" customWidth="1"/>
  </cols>
  <sheetData>
    <row r="2" spans="1:9" x14ac:dyDescent="0.3">
      <c r="A2" s="3" t="s">
        <v>493</v>
      </c>
      <c r="B2" s="5" t="s">
        <v>494</v>
      </c>
      <c r="C2" s="5" t="s">
        <v>495</v>
      </c>
    </row>
    <row r="3" spans="1:9" x14ac:dyDescent="0.3">
      <c r="A3" s="3" t="s">
        <v>0</v>
      </c>
      <c r="B3" s="66" t="s">
        <v>6</v>
      </c>
      <c r="C3" s="66" t="s">
        <v>7</v>
      </c>
      <c r="D3" s="80">
        <v>1</v>
      </c>
      <c r="E3" s="80">
        <v>482.22</v>
      </c>
    </row>
    <row r="4" spans="1:9" x14ac:dyDescent="0.35">
      <c r="A4" s="3" t="s">
        <v>150</v>
      </c>
      <c r="B4" s="66" t="s">
        <v>733</v>
      </c>
      <c r="C4" s="66" t="s">
        <v>734</v>
      </c>
      <c r="D4" s="80">
        <v>629.96</v>
      </c>
      <c r="E4" s="15"/>
      <c r="F4" s="1"/>
      <c r="G4" s="1"/>
      <c r="H4" s="1"/>
      <c r="I4" s="1"/>
    </row>
    <row r="5" spans="1:9" x14ac:dyDescent="0.35">
      <c r="A5" s="3" t="s">
        <v>179</v>
      </c>
      <c r="B5" s="66" t="s">
        <v>180</v>
      </c>
      <c r="C5" s="66" t="s">
        <v>181</v>
      </c>
      <c r="D5" s="80">
        <v>906.12</v>
      </c>
      <c r="E5" s="15"/>
      <c r="F5" s="1"/>
      <c r="G5" s="1"/>
      <c r="H5" s="1"/>
      <c r="I5" s="1"/>
    </row>
    <row r="6" spans="1:9" x14ac:dyDescent="0.35">
      <c r="A6" s="3" t="s">
        <v>286</v>
      </c>
      <c r="B6" s="66" t="s">
        <v>203</v>
      </c>
      <c r="C6" s="66" t="s">
        <v>204</v>
      </c>
      <c r="D6" s="80">
        <v>1211.04</v>
      </c>
      <c r="E6" s="15"/>
      <c r="F6" s="1"/>
      <c r="G6" s="1"/>
      <c r="H6" s="1"/>
      <c r="I6" s="1"/>
    </row>
    <row r="7" spans="1:9" x14ac:dyDescent="0.35">
      <c r="A7" s="3" t="s">
        <v>357</v>
      </c>
      <c r="B7" s="66" t="s">
        <v>287</v>
      </c>
      <c r="C7" s="66" t="s">
        <v>288</v>
      </c>
      <c r="D7" s="80">
        <v>1444.06</v>
      </c>
      <c r="E7" s="15"/>
      <c r="F7" s="1"/>
      <c r="G7" s="1"/>
      <c r="H7" s="1"/>
      <c r="I7" s="1"/>
    </row>
    <row r="8" spans="1:9" x14ac:dyDescent="0.35">
      <c r="A8" s="3" t="s">
        <v>380</v>
      </c>
      <c r="B8" s="66" t="s">
        <v>358</v>
      </c>
      <c r="C8" s="66" t="s">
        <v>359</v>
      </c>
      <c r="D8" s="80">
        <v>1526.45</v>
      </c>
      <c r="E8" s="15"/>
      <c r="F8" s="1"/>
      <c r="G8" s="1"/>
      <c r="H8" s="1"/>
      <c r="I8" s="1"/>
    </row>
    <row r="9" spans="1:9" x14ac:dyDescent="0.35">
      <c r="A9" s="3" t="s">
        <v>404</v>
      </c>
      <c r="B9" s="66" t="s">
        <v>381</v>
      </c>
      <c r="C9" s="66" t="s">
        <v>496</v>
      </c>
      <c r="D9" s="80">
        <v>2394.46</v>
      </c>
      <c r="E9" s="17"/>
      <c r="F9" s="1"/>
      <c r="G9" s="1"/>
      <c r="H9" s="1"/>
      <c r="I9" s="1"/>
    </row>
    <row r="10" spans="1:9" x14ac:dyDescent="0.35">
      <c r="A10" s="3" t="s">
        <v>405</v>
      </c>
      <c r="B10" s="66" t="s">
        <v>406</v>
      </c>
      <c r="C10" s="66" t="s">
        <v>497</v>
      </c>
      <c r="D10" s="80">
        <v>2283.56</v>
      </c>
      <c r="E10" s="17"/>
      <c r="F10" s="1"/>
      <c r="G10" s="1"/>
      <c r="H10" s="1"/>
      <c r="I10" s="1"/>
    </row>
    <row r="11" spans="1:9" x14ac:dyDescent="0.35">
      <c r="A11" s="3" t="s">
        <v>427</v>
      </c>
      <c r="B11" s="66" t="s">
        <v>428</v>
      </c>
      <c r="C11" s="66" t="s">
        <v>498</v>
      </c>
      <c r="D11" s="80">
        <v>2702.18</v>
      </c>
      <c r="E11" s="17"/>
      <c r="F11" s="1"/>
      <c r="G11" s="1"/>
      <c r="H11" s="1"/>
      <c r="I11" s="1"/>
    </row>
    <row r="12" spans="1:9" x14ac:dyDescent="0.35">
      <c r="A12" s="3" t="s">
        <v>0</v>
      </c>
      <c r="B12" s="66" t="s">
        <v>8</v>
      </c>
      <c r="C12" s="66" t="s">
        <v>548</v>
      </c>
      <c r="D12" s="80">
        <v>39.920999999999999</v>
      </c>
      <c r="E12" s="17"/>
      <c r="F12" s="1"/>
      <c r="G12" s="1"/>
      <c r="H12" s="1"/>
      <c r="I12" s="1"/>
    </row>
    <row r="13" spans="1:9" x14ac:dyDescent="0.35">
      <c r="A13" s="3" t="s">
        <v>150</v>
      </c>
      <c r="B13" s="66" t="s">
        <v>151</v>
      </c>
      <c r="C13" s="66" t="s">
        <v>549</v>
      </c>
      <c r="D13" s="80">
        <v>40.708500000000001</v>
      </c>
      <c r="E13" s="17"/>
      <c r="F13" s="1"/>
      <c r="G13" s="1"/>
      <c r="H13" s="1"/>
      <c r="I13" s="1"/>
    </row>
    <row r="14" spans="1:9" x14ac:dyDescent="0.35">
      <c r="A14" s="3" t="s">
        <v>179</v>
      </c>
      <c r="B14" s="66" t="s">
        <v>151</v>
      </c>
      <c r="C14" s="66" t="s">
        <v>549</v>
      </c>
      <c r="D14" s="80">
        <v>40.708500000000001</v>
      </c>
      <c r="E14" s="17"/>
      <c r="F14" s="1"/>
      <c r="G14" s="1"/>
      <c r="H14" s="1"/>
      <c r="I14" s="1"/>
    </row>
    <row r="15" spans="1:9" x14ac:dyDescent="0.35">
      <c r="A15" s="3" t="s">
        <v>286</v>
      </c>
      <c r="B15" s="66" t="s">
        <v>151</v>
      </c>
      <c r="C15" s="66" t="s">
        <v>549</v>
      </c>
      <c r="D15" s="80">
        <v>40.708500000000001</v>
      </c>
      <c r="E15" s="17"/>
      <c r="F15" s="1"/>
      <c r="G15" s="1"/>
      <c r="H15" s="1"/>
      <c r="I15" s="1"/>
    </row>
    <row r="16" spans="1:9" x14ac:dyDescent="0.35">
      <c r="A16" s="3" t="s">
        <v>357</v>
      </c>
      <c r="B16" s="66" t="s">
        <v>151</v>
      </c>
      <c r="C16" s="66" t="s">
        <v>549</v>
      </c>
      <c r="D16" s="80">
        <v>40.708500000000001</v>
      </c>
      <c r="E16" s="17"/>
      <c r="F16" s="1"/>
      <c r="G16" s="1"/>
      <c r="H16" s="1"/>
      <c r="I16" s="1"/>
    </row>
    <row r="17" spans="1:9" x14ac:dyDescent="0.35">
      <c r="A17" s="3" t="s">
        <v>380</v>
      </c>
      <c r="B17" s="66" t="s">
        <v>205</v>
      </c>
      <c r="C17" s="66" t="s">
        <v>552</v>
      </c>
      <c r="D17" s="80">
        <v>45.916499999999999</v>
      </c>
      <c r="E17" s="17"/>
      <c r="F17" s="1"/>
      <c r="G17" s="1"/>
      <c r="H17" s="1"/>
      <c r="I17" s="1"/>
    </row>
    <row r="18" spans="1:9" x14ac:dyDescent="0.35">
      <c r="A18" s="3" t="s">
        <v>404</v>
      </c>
      <c r="B18" s="66" t="s">
        <v>205</v>
      </c>
      <c r="C18" s="66" t="s">
        <v>552</v>
      </c>
      <c r="D18" s="80">
        <v>45.916499999999999</v>
      </c>
      <c r="E18" s="17"/>
      <c r="F18" s="1"/>
      <c r="G18" s="1"/>
      <c r="H18" s="1"/>
      <c r="I18" s="1"/>
    </row>
    <row r="19" spans="1:9" x14ac:dyDescent="0.3">
      <c r="A19" s="3" t="s">
        <v>405</v>
      </c>
      <c r="B19" s="66" t="s">
        <v>205</v>
      </c>
      <c r="C19" s="66" t="s">
        <v>552</v>
      </c>
      <c r="D19" s="80">
        <v>45.916499999999999</v>
      </c>
      <c r="E19" s="17"/>
    </row>
    <row r="20" spans="1:9" x14ac:dyDescent="0.3">
      <c r="A20" s="3" t="s">
        <v>427</v>
      </c>
      <c r="B20" s="66" t="s">
        <v>407</v>
      </c>
      <c r="C20" s="66" t="s">
        <v>550</v>
      </c>
      <c r="D20" s="81">
        <v>62.83</v>
      </c>
      <c r="E20" s="17"/>
    </row>
    <row r="21" spans="1:9" x14ac:dyDescent="0.3">
      <c r="A21" s="3" t="s">
        <v>0</v>
      </c>
      <c r="B21" s="66" t="s">
        <v>9</v>
      </c>
      <c r="C21" s="66" t="s">
        <v>10</v>
      </c>
      <c r="D21" s="80">
        <v>60</v>
      </c>
      <c r="E21" s="17"/>
    </row>
    <row r="22" spans="1:9" x14ac:dyDescent="0.3">
      <c r="A22" s="3" t="s">
        <v>150</v>
      </c>
      <c r="B22" s="66" t="s">
        <v>9</v>
      </c>
      <c r="C22" s="66" t="s">
        <v>10</v>
      </c>
      <c r="D22" s="80">
        <v>60</v>
      </c>
      <c r="E22" s="17"/>
    </row>
    <row r="23" spans="1:9" x14ac:dyDescent="0.3">
      <c r="A23" s="3" t="s">
        <v>179</v>
      </c>
      <c r="B23" s="66" t="s">
        <v>182</v>
      </c>
      <c r="C23" s="66" t="s">
        <v>498</v>
      </c>
      <c r="D23" s="80">
        <v>118</v>
      </c>
      <c r="E23" s="17"/>
    </row>
    <row r="24" spans="1:9" x14ac:dyDescent="0.35">
      <c r="A24" s="3" t="s">
        <v>0</v>
      </c>
      <c r="B24" s="66" t="s">
        <v>11</v>
      </c>
      <c r="C24" s="66" t="s">
        <v>12</v>
      </c>
      <c r="D24" s="82">
        <v>12.8</v>
      </c>
      <c r="E24" s="17"/>
    </row>
    <row r="25" spans="1:9" x14ac:dyDescent="0.35">
      <c r="A25" s="3" t="s">
        <v>150</v>
      </c>
      <c r="B25" s="66" t="s">
        <v>11</v>
      </c>
      <c r="C25" s="66" t="s">
        <v>12</v>
      </c>
      <c r="D25" s="82">
        <v>12.8</v>
      </c>
      <c r="E25" s="17"/>
    </row>
    <row r="26" spans="1:9" x14ac:dyDescent="0.35">
      <c r="A26" s="3" t="s">
        <v>179</v>
      </c>
      <c r="B26" s="66" t="s">
        <v>11</v>
      </c>
      <c r="C26" s="66" t="s">
        <v>12</v>
      </c>
      <c r="D26" s="82">
        <v>12.8</v>
      </c>
      <c r="E26" s="17"/>
    </row>
    <row r="27" spans="1:9" x14ac:dyDescent="0.3">
      <c r="A27" s="3" t="s">
        <v>0</v>
      </c>
      <c r="B27" s="66" t="s">
        <v>13</v>
      </c>
      <c r="C27" s="66" t="s">
        <v>499</v>
      </c>
      <c r="D27" s="80">
        <v>13.05</v>
      </c>
      <c r="E27" s="17"/>
    </row>
    <row r="28" spans="1:9" x14ac:dyDescent="0.3">
      <c r="A28" s="3" t="s">
        <v>150</v>
      </c>
      <c r="B28" s="66" t="s">
        <v>153</v>
      </c>
      <c r="C28" s="66" t="s">
        <v>500</v>
      </c>
      <c r="D28" s="80">
        <v>14</v>
      </c>
      <c r="E28" s="17"/>
    </row>
    <row r="29" spans="1:9" x14ac:dyDescent="0.3">
      <c r="A29" s="3" t="s">
        <v>179</v>
      </c>
      <c r="B29" s="66" t="s">
        <v>183</v>
      </c>
      <c r="C29" s="66" t="s">
        <v>501</v>
      </c>
      <c r="D29" s="80">
        <v>16.7</v>
      </c>
      <c r="E29" s="17"/>
    </row>
    <row r="30" spans="1:9" x14ac:dyDescent="0.3">
      <c r="A30" s="3" t="s">
        <v>0</v>
      </c>
      <c r="B30" s="66" t="s">
        <v>15</v>
      </c>
      <c r="C30" s="66" t="s">
        <v>502</v>
      </c>
      <c r="D30" s="80">
        <v>10.15</v>
      </c>
      <c r="E30" s="17"/>
    </row>
    <row r="31" spans="1:9" x14ac:dyDescent="0.3">
      <c r="A31" s="3" t="s">
        <v>150</v>
      </c>
      <c r="B31" s="66" t="s">
        <v>152</v>
      </c>
      <c r="C31" s="66" t="s">
        <v>503</v>
      </c>
      <c r="D31" s="80">
        <v>10.8</v>
      </c>
      <c r="E31" s="17"/>
    </row>
    <row r="32" spans="1:9" x14ac:dyDescent="0.3">
      <c r="A32" s="3" t="s">
        <v>179</v>
      </c>
      <c r="B32" s="66" t="s">
        <v>184</v>
      </c>
      <c r="C32" s="66" t="s">
        <v>504</v>
      </c>
      <c r="D32" s="80">
        <v>10.8</v>
      </c>
      <c r="E32" s="17"/>
    </row>
    <row r="33" spans="1:5" s="15" customFormat="1" x14ac:dyDescent="0.3">
      <c r="A33" s="3" t="s">
        <v>286</v>
      </c>
      <c r="B33" s="66" t="s">
        <v>206</v>
      </c>
      <c r="C33" s="66" t="s">
        <v>505</v>
      </c>
      <c r="D33" s="80">
        <v>18.8</v>
      </c>
      <c r="E33" s="17"/>
    </row>
    <row r="34" spans="1:5" s="15" customFormat="1" x14ac:dyDescent="0.3">
      <c r="A34" s="3" t="s">
        <v>357</v>
      </c>
      <c r="B34" s="66" t="s">
        <v>206</v>
      </c>
      <c r="C34" s="66" t="s">
        <v>505</v>
      </c>
      <c r="D34" s="80">
        <v>18.8</v>
      </c>
      <c r="E34" s="17"/>
    </row>
    <row r="35" spans="1:5" s="15" customFormat="1" x14ac:dyDescent="0.3">
      <c r="A35" s="3" t="s">
        <v>380</v>
      </c>
      <c r="B35" s="66" t="s">
        <v>360</v>
      </c>
      <c r="C35" s="66" t="s">
        <v>506</v>
      </c>
      <c r="D35" s="80">
        <v>18.8</v>
      </c>
      <c r="E35" s="17"/>
    </row>
    <row r="36" spans="1:5" s="15" customFormat="1" x14ac:dyDescent="0.3">
      <c r="A36" s="3" t="s">
        <v>404</v>
      </c>
      <c r="B36" s="66" t="s">
        <v>382</v>
      </c>
      <c r="C36" s="66" t="s">
        <v>507</v>
      </c>
      <c r="D36" s="80">
        <v>18.8</v>
      </c>
      <c r="E36" s="17"/>
    </row>
    <row r="37" spans="1:5" s="15" customFormat="1" x14ac:dyDescent="0.3">
      <c r="A37" s="3" t="s">
        <v>405</v>
      </c>
      <c r="B37" s="66" t="s">
        <v>408</v>
      </c>
      <c r="C37" s="66" t="s">
        <v>508</v>
      </c>
      <c r="D37" s="80">
        <v>31.8</v>
      </c>
      <c r="E37" s="17"/>
    </row>
    <row r="38" spans="1:5" s="15" customFormat="1" x14ac:dyDescent="0.3">
      <c r="A38" s="3" t="s">
        <v>427</v>
      </c>
      <c r="B38" s="66" t="s">
        <v>408</v>
      </c>
      <c r="C38" s="66" t="s">
        <v>508</v>
      </c>
      <c r="D38" s="80">
        <v>31.8</v>
      </c>
      <c r="E38" s="17"/>
    </row>
    <row r="39" spans="1:5" s="15" customFormat="1" x14ac:dyDescent="0.3">
      <c r="A39" s="3" t="s">
        <v>0</v>
      </c>
      <c r="B39" s="66" t="s">
        <v>16</v>
      </c>
      <c r="C39" s="66" t="s">
        <v>509</v>
      </c>
      <c r="D39" s="80">
        <v>9.5</v>
      </c>
      <c r="E39" s="17"/>
    </row>
    <row r="40" spans="1:5" s="15" customFormat="1" x14ac:dyDescent="0.3">
      <c r="A40" s="3" t="s">
        <v>150</v>
      </c>
      <c r="B40" s="66" t="s">
        <v>154</v>
      </c>
      <c r="C40" s="66" t="s">
        <v>510</v>
      </c>
      <c r="D40" s="80">
        <v>10.8</v>
      </c>
      <c r="E40" s="17"/>
    </row>
    <row r="41" spans="1:5" s="15" customFormat="1" x14ac:dyDescent="0.3">
      <c r="A41" s="3" t="s">
        <v>179</v>
      </c>
      <c r="B41" s="67" t="s">
        <v>185</v>
      </c>
      <c r="C41" s="67" t="s">
        <v>511</v>
      </c>
      <c r="D41" s="83">
        <v>14.5</v>
      </c>
      <c r="E41" s="17"/>
    </row>
    <row r="42" spans="1:5" s="15" customFormat="1" x14ac:dyDescent="0.3">
      <c r="A42" s="3" t="s">
        <v>286</v>
      </c>
      <c r="B42" s="67" t="s">
        <v>185</v>
      </c>
      <c r="C42" s="67" t="s">
        <v>511</v>
      </c>
      <c r="D42" s="83">
        <v>14.5</v>
      </c>
      <c r="E42" s="17"/>
    </row>
    <row r="43" spans="1:5" s="15" customFormat="1" x14ac:dyDescent="0.3">
      <c r="A43" s="3" t="s">
        <v>357</v>
      </c>
      <c r="B43" s="66" t="s">
        <v>185</v>
      </c>
      <c r="C43" s="66" t="s">
        <v>511</v>
      </c>
      <c r="D43" s="80">
        <v>20.100000000000001</v>
      </c>
      <c r="E43" s="17"/>
    </row>
    <row r="44" spans="1:5" s="15" customFormat="1" x14ac:dyDescent="0.3">
      <c r="A44" s="3" t="s">
        <v>380</v>
      </c>
      <c r="B44" s="66" t="s">
        <v>361</v>
      </c>
      <c r="C44" s="66" t="s">
        <v>512</v>
      </c>
      <c r="D44" s="80">
        <v>25.5</v>
      </c>
      <c r="E44" s="17"/>
    </row>
    <row r="45" spans="1:5" s="15" customFormat="1" x14ac:dyDescent="0.3">
      <c r="A45" s="3" t="s">
        <v>404</v>
      </c>
      <c r="B45" s="66" t="s">
        <v>383</v>
      </c>
      <c r="C45" s="66" t="s">
        <v>513</v>
      </c>
      <c r="D45" s="80">
        <v>25.5</v>
      </c>
      <c r="E45" s="17"/>
    </row>
    <row r="46" spans="1:5" s="15" customFormat="1" x14ac:dyDescent="0.3">
      <c r="A46" s="3" t="s">
        <v>405</v>
      </c>
      <c r="B46" s="66" t="s">
        <v>409</v>
      </c>
      <c r="C46" s="66" t="s">
        <v>514</v>
      </c>
      <c r="D46" s="80">
        <v>25.5</v>
      </c>
      <c r="E46" s="17"/>
    </row>
    <row r="47" spans="1:5" s="15" customFormat="1" x14ac:dyDescent="0.3">
      <c r="A47" s="3" t="s">
        <v>427</v>
      </c>
      <c r="B47" s="66" t="s">
        <v>409</v>
      </c>
      <c r="C47" s="66" t="s">
        <v>514</v>
      </c>
      <c r="D47" s="80">
        <v>25.5</v>
      </c>
      <c r="E47" s="17"/>
    </row>
    <row r="48" spans="1:5" s="15" customFormat="1" x14ac:dyDescent="0.3">
      <c r="A48" s="3" t="s">
        <v>0</v>
      </c>
      <c r="B48" s="66" t="s">
        <v>17</v>
      </c>
      <c r="C48" s="66" t="s">
        <v>515</v>
      </c>
      <c r="D48" s="80">
        <v>18</v>
      </c>
      <c r="E48" s="17"/>
    </row>
    <row r="49" spans="1:7" x14ac:dyDescent="0.3">
      <c r="A49" s="3" t="s">
        <v>150</v>
      </c>
      <c r="B49" s="66" t="s">
        <v>155</v>
      </c>
      <c r="C49" s="66" t="s">
        <v>516</v>
      </c>
      <c r="D49" s="80">
        <v>18</v>
      </c>
      <c r="E49" s="17"/>
    </row>
    <row r="50" spans="1:7" x14ac:dyDescent="0.3">
      <c r="A50" s="3" t="s">
        <v>179</v>
      </c>
      <c r="B50" s="66" t="s">
        <v>186</v>
      </c>
      <c r="C50" s="66" t="s">
        <v>517</v>
      </c>
      <c r="D50" s="80">
        <v>19.5</v>
      </c>
      <c r="E50" s="17"/>
    </row>
    <row r="51" spans="1:7" x14ac:dyDescent="0.3">
      <c r="A51" s="3" t="s">
        <v>286</v>
      </c>
      <c r="B51" s="66" t="s">
        <v>186</v>
      </c>
      <c r="C51" s="66" t="s">
        <v>517</v>
      </c>
      <c r="D51" s="80">
        <v>19.5</v>
      </c>
      <c r="E51" s="17"/>
    </row>
    <row r="52" spans="1:7" x14ac:dyDescent="0.3">
      <c r="A52" s="3" t="s">
        <v>357</v>
      </c>
      <c r="B52" s="66" t="s">
        <v>186</v>
      </c>
      <c r="C52" s="66" t="s">
        <v>517</v>
      </c>
      <c r="D52" s="80">
        <v>19.5</v>
      </c>
      <c r="E52" s="17"/>
    </row>
    <row r="53" spans="1:7" x14ac:dyDescent="0.3">
      <c r="A53" s="3" t="s">
        <v>380</v>
      </c>
      <c r="B53" s="66" t="s">
        <v>362</v>
      </c>
      <c r="C53" s="66" t="s">
        <v>518</v>
      </c>
      <c r="D53" s="80">
        <v>26.2</v>
      </c>
      <c r="E53" s="17"/>
    </row>
    <row r="54" spans="1:7" x14ac:dyDescent="0.3">
      <c r="A54" s="3" t="s">
        <v>404</v>
      </c>
      <c r="B54" s="66" t="s">
        <v>362</v>
      </c>
      <c r="C54" s="66" t="s">
        <v>518</v>
      </c>
      <c r="D54" s="80">
        <v>26.2</v>
      </c>
      <c r="E54" s="17"/>
    </row>
    <row r="55" spans="1:7" x14ac:dyDescent="0.3">
      <c r="A55" s="3" t="s">
        <v>405</v>
      </c>
      <c r="B55" s="66" t="s">
        <v>410</v>
      </c>
      <c r="C55" s="66" t="s">
        <v>519</v>
      </c>
      <c r="D55" s="80">
        <v>38.85</v>
      </c>
      <c r="E55" s="17"/>
    </row>
    <row r="56" spans="1:7" ht="15" customHeight="1" x14ac:dyDescent="0.3">
      <c r="A56" s="3" t="s">
        <v>427</v>
      </c>
      <c r="B56" s="66" t="s">
        <v>410</v>
      </c>
      <c r="C56" s="66" t="s">
        <v>519</v>
      </c>
      <c r="D56" s="80">
        <v>38.85</v>
      </c>
      <c r="E56" s="17"/>
    </row>
    <row r="57" spans="1:7" ht="14.4" customHeight="1" x14ac:dyDescent="0.3">
      <c r="A57" s="3" t="s">
        <v>0</v>
      </c>
      <c r="B57" s="66" t="s">
        <v>18</v>
      </c>
      <c r="C57" s="66" t="s">
        <v>19</v>
      </c>
      <c r="D57" s="80">
        <v>599.29999999999995</v>
      </c>
      <c r="E57" s="17"/>
      <c r="F57" s="16"/>
      <c r="G57" s="16"/>
    </row>
    <row r="58" spans="1:7" ht="14.4" customHeight="1" x14ac:dyDescent="0.3">
      <c r="A58" s="3" t="s">
        <v>150</v>
      </c>
      <c r="B58" s="66" t="s">
        <v>168</v>
      </c>
      <c r="C58" s="66" t="s">
        <v>169</v>
      </c>
      <c r="D58" s="80">
        <v>760.2</v>
      </c>
      <c r="E58" s="17"/>
      <c r="F58" s="16"/>
      <c r="G58" s="16"/>
    </row>
    <row r="59" spans="1:7" ht="14.4" customHeight="1" x14ac:dyDescent="0.3">
      <c r="A59" s="3" t="s">
        <v>179</v>
      </c>
      <c r="B59" s="66" t="s">
        <v>187</v>
      </c>
      <c r="C59" s="66" t="s">
        <v>188</v>
      </c>
      <c r="D59" s="80">
        <v>986.3</v>
      </c>
      <c r="E59" s="17"/>
      <c r="F59" s="16"/>
      <c r="G59" s="16"/>
    </row>
    <row r="60" spans="1:7" ht="14.4" customHeight="1" x14ac:dyDescent="0.3">
      <c r="A60" s="3" t="s">
        <v>286</v>
      </c>
      <c r="B60" s="66" t="s">
        <v>207</v>
      </c>
      <c r="C60" s="66" t="s">
        <v>208</v>
      </c>
      <c r="D60" s="80">
        <f>1040*1.28</f>
        <v>1331.2</v>
      </c>
      <c r="E60" s="17"/>
      <c r="F60" s="16"/>
      <c r="G60" s="16"/>
    </row>
    <row r="61" spans="1:7" ht="14.4" customHeight="1" x14ac:dyDescent="0.3">
      <c r="A61" s="3" t="s">
        <v>357</v>
      </c>
      <c r="B61" s="66" t="s">
        <v>289</v>
      </c>
      <c r="C61" s="66" t="s">
        <v>290</v>
      </c>
      <c r="D61" s="80">
        <f>1269*1.28</f>
        <v>1624.32</v>
      </c>
      <c r="E61" s="17"/>
      <c r="F61" s="16"/>
      <c r="G61" s="16"/>
    </row>
    <row r="62" spans="1:7" ht="14.4" customHeight="1" x14ac:dyDescent="0.3">
      <c r="A62" s="3" t="s">
        <v>380</v>
      </c>
      <c r="B62" s="66" t="s">
        <v>363</v>
      </c>
      <c r="C62" s="66" t="s">
        <v>364</v>
      </c>
      <c r="D62" s="80">
        <f>1471*1.28</f>
        <v>1882.88</v>
      </c>
      <c r="E62" s="17"/>
      <c r="F62" s="16"/>
      <c r="G62" s="16"/>
    </row>
    <row r="63" spans="1:7" x14ac:dyDescent="0.3">
      <c r="A63" s="3" t="s">
        <v>404</v>
      </c>
      <c r="B63" s="66" t="s">
        <v>384</v>
      </c>
      <c r="C63" s="66" t="s">
        <v>385</v>
      </c>
      <c r="D63" s="80">
        <f>1471*1.28</f>
        <v>1882.88</v>
      </c>
      <c r="E63" s="17"/>
    </row>
    <row r="64" spans="1:7" x14ac:dyDescent="0.3">
      <c r="A64" s="3" t="s">
        <v>405</v>
      </c>
      <c r="B64" s="66" t="s">
        <v>411</v>
      </c>
      <c r="C64" s="66" t="s">
        <v>412</v>
      </c>
      <c r="D64" s="80">
        <v>2682.88</v>
      </c>
      <c r="E64" s="17"/>
    </row>
    <row r="65" spans="1:5" x14ac:dyDescent="0.3">
      <c r="A65" s="3" t="s">
        <v>427</v>
      </c>
      <c r="B65" s="66" t="s">
        <v>429</v>
      </c>
      <c r="C65" s="66" t="s">
        <v>430</v>
      </c>
      <c r="D65" s="80">
        <f>4584.58*1.28</f>
        <v>5868.2623999999996</v>
      </c>
      <c r="E65" s="17"/>
    </row>
    <row r="66" spans="1:5" x14ac:dyDescent="0.3">
      <c r="A66" s="3" t="s">
        <v>0</v>
      </c>
      <c r="B66" s="66" t="s">
        <v>20</v>
      </c>
      <c r="C66" s="66" t="s">
        <v>21</v>
      </c>
      <c r="D66" s="84">
        <v>250</v>
      </c>
      <c r="E66" s="17"/>
    </row>
    <row r="67" spans="1:5" x14ac:dyDescent="0.3">
      <c r="A67" s="3" t="s">
        <v>150</v>
      </c>
      <c r="B67" s="66" t="s">
        <v>170</v>
      </c>
      <c r="C67" s="66" t="s">
        <v>171</v>
      </c>
      <c r="D67" s="84">
        <v>275</v>
      </c>
      <c r="E67" s="17"/>
    </row>
    <row r="68" spans="1:5" x14ac:dyDescent="0.3">
      <c r="A68" s="3" t="s">
        <v>179</v>
      </c>
      <c r="B68" s="66" t="s">
        <v>189</v>
      </c>
      <c r="C68" s="66" t="s">
        <v>551</v>
      </c>
      <c r="D68" s="84">
        <v>310</v>
      </c>
      <c r="E68" s="17"/>
    </row>
    <row r="69" spans="1:5" x14ac:dyDescent="0.3">
      <c r="A69" s="3" t="s">
        <v>286</v>
      </c>
      <c r="B69" s="66" t="s">
        <v>559</v>
      </c>
      <c r="C69" s="66" t="s">
        <v>192</v>
      </c>
      <c r="D69" s="84">
        <v>410</v>
      </c>
      <c r="E69" s="17"/>
    </row>
    <row r="70" spans="1:5" x14ac:dyDescent="0.3">
      <c r="A70" s="3" t="s">
        <v>357</v>
      </c>
      <c r="B70" s="66" t="s">
        <v>560</v>
      </c>
      <c r="C70" s="66" t="s">
        <v>192</v>
      </c>
      <c r="D70" s="84">
        <v>460</v>
      </c>
      <c r="E70" s="17"/>
    </row>
    <row r="71" spans="1:5" x14ac:dyDescent="0.3">
      <c r="A71" s="3" t="s">
        <v>380</v>
      </c>
      <c r="B71" s="66" t="s">
        <v>561</v>
      </c>
      <c r="C71" s="66" t="s">
        <v>192</v>
      </c>
      <c r="D71" s="84">
        <v>490</v>
      </c>
      <c r="E71" s="17"/>
    </row>
    <row r="72" spans="1:5" x14ac:dyDescent="0.3">
      <c r="A72" s="3" t="s">
        <v>404</v>
      </c>
      <c r="B72" s="66" t="s">
        <v>563</v>
      </c>
      <c r="C72" s="66" t="s">
        <v>192</v>
      </c>
      <c r="D72" s="84">
        <v>580</v>
      </c>
      <c r="E72" s="17"/>
    </row>
    <row r="73" spans="1:5" x14ac:dyDescent="0.3">
      <c r="A73" s="3" t="s">
        <v>405</v>
      </c>
      <c r="B73" s="66" t="s">
        <v>565</v>
      </c>
      <c r="C73" s="66" t="s">
        <v>192</v>
      </c>
      <c r="D73" s="84">
        <v>645</v>
      </c>
      <c r="E73" s="17"/>
    </row>
    <row r="74" spans="1:5" x14ac:dyDescent="0.3">
      <c r="A74" s="3" t="s">
        <v>427</v>
      </c>
      <c r="B74" s="66" t="s">
        <v>566</v>
      </c>
      <c r="C74" s="66" t="s">
        <v>192</v>
      </c>
      <c r="D74" s="84">
        <v>890</v>
      </c>
      <c r="E74" s="17"/>
    </row>
    <row r="75" spans="1:5" s="15" customFormat="1" x14ac:dyDescent="0.3">
      <c r="A75" s="3" t="s">
        <v>286</v>
      </c>
      <c r="B75" s="66" t="s">
        <v>474</v>
      </c>
      <c r="C75" s="66" t="s">
        <v>475</v>
      </c>
      <c r="D75" s="84">
        <v>660</v>
      </c>
      <c r="E75" s="17"/>
    </row>
    <row r="76" spans="1:5" s="15" customFormat="1" x14ac:dyDescent="0.3">
      <c r="A76" s="3" t="s">
        <v>357</v>
      </c>
      <c r="B76" s="66" t="s">
        <v>481</v>
      </c>
      <c r="C76" s="66" t="s">
        <v>482</v>
      </c>
      <c r="D76" s="84">
        <v>825</v>
      </c>
      <c r="E76" s="17"/>
    </row>
    <row r="77" spans="1:5" s="15" customFormat="1" x14ac:dyDescent="0.3">
      <c r="A77" s="3" t="s">
        <v>380</v>
      </c>
      <c r="B77" s="66" t="s">
        <v>562</v>
      </c>
      <c r="C77" s="66" t="s">
        <v>192</v>
      </c>
      <c r="D77" s="84">
        <v>960</v>
      </c>
      <c r="E77" s="17"/>
    </row>
    <row r="78" spans="1:5" s="15" customFormat="1" x14ac:dyDescent="0.3">
      <c r="A78" s="3" t="s">
        <v>404</v>
      </c>
      <c r="B78" s="66" t="s">
        <v>564</v>
      </c>
      <c r="C78" s="66" t="s">
        <v>192</v>
      </c>
      <c r="D78" s="84">
        <v>1110</v>
      </c>
    </row>
    <row r="79" spans="1:5" s="15" customFormat="1" x14ac:dyDescent="0.3">
      <c r="A79" s="3" t="s">
        <v>405</v>
      </c>
      <c r="B79" s="66" t="s">
        <v>483</v>
      </c>
      <c r="C79" s="66" t="s">
        <v>492</v>
      </c>
      <c r="D79" s="84">
        <v>1290</v>
      </c>
    </row>
    <row r="80" spans="1:5" s="15" customFormat="1" x14ac:dyDescent="0.3">
      <c r="A80" s="3" t="s">
        <v>427</v>
      </c>
      <c r="B80" s="66" t="s">
        <v>567</v>
      </c>
      <c r="C80" s="66" t="s">
        <v>192</v>
      </c>
      <c r="D80" s="84">
        <v>1760</v>
      </c>
    </row>
    <row r="81" spans="1:4" s="15" customFormat="1" x14ac:dyDescent="0.3">
      <c r="A81" s="3" t="s">
        <v>0</v>
      </c>
      <c r="B81" s="66" t="s">
        <v>22</v>
      </c>
      <c r="C81" s="66" t="s">
        <v>520</v>
      </c>
      <c r="D81" s="84">
        <v>450</v>
      </c>
    </row>
    <row r="82" spans="1:4" s="15" customFormat="1" x14ac:dyDescent="0.3">
      <c r="A82" s="3" t="s">
        <v>150</v>
      </c>
      <c r="B82" s="66" t="s">
        <v>172</v>
      </c>
      <c r="C82" s="66" t="s">
        <v>521</v>
      </c>
      <c r="D82" s="84">
        <v>585</v>
      </c>
    </row>
    <row r="83" spans="1:4" s="15" customFormat="1" x14ac:dyDescent="0.3">
      <c r="A83" s="3" t="s">
        <v>179</v>
      </c>
      <c r="B83" s="66" t="s">
        <v>190</v>
      </c>
      <c r="C83" s="66" t="s">
        <v>522</v>
      </c>
      <c r="D83" s="84">
        <v>775</v>
      </c>
    </row>
    <row r="84" spans="1:4" s="15" customFormat="1" x14ac:dyDescent="0.3">
      <c r="A84" s="3" t="s">
        <v>286</v>
      </c>
      <c r="B84" s="66" t="s">
        <v>209</v>
      </c>
      <c r="C84" s="66" t="s">
        <v>523</v>
      </c>
      <c r="D84" s="84">
        <v>1030</v>
      </c>
    </row>
    <row r="85" spans="1:4" s="15" customFormat="1" x14ac:dyDescent="0.3">
      <c r="A85" s="3" t="s">
        <v>357</v>
      </c>
      <c r="B85" s="66" t="s">
        <v>291</v>
      </c>
      <c r="C85" s="66" t="s">
        <v>524</v>
      </c>
      <c r="D85" s="84">
        <v>1085</v>
      </c>
    </row>
    <row r="86" spans="1:4" s="15" customFormat="1" x14ac:dyDescent="0.3">
      <c r="A86" s="3" t="s">
        <v>380</v>
      </c>
      <c r="B86" s="66" t="s">
        <v>365</v>
      </c>
      <c r="C86" s="66" t="s">
        <v>525</v>
      </c>
      <c r="D86" s="84">
        <v>1465</v>
      </c>
    </row>
    <row r="87" spans="1:4" s="15" customFormat="1" x14ac:dyDescent="0.3">
      <c r="A87" s="3" t="s">
        <v>404</v>
      </c>
      <c r="B87" s="66" t="s">
        <v>386</v>
      </c>
      <c r="C87" s="66" t="s">
        <v>526</v>
      </c>
      <c r="D87" s="84">
        <v>1665</v>
      </c>
    </row>
    <row r="88" spans="1:4" s="15" customFormat="1" x14ac:dyDescent="0.3">
      <c r="A88" s="3" t="s">
        <v>405</v>
      </c>
      <c r="B88" s="66" t="s">
        <v>413</v>
      </c>
      <c r="C88" s="66" t="s">
        <v>527</v>
      </c>
      <c r="D88" s="84">
        <v>1875</v>
      </c>
    </row>
    <row r="89" spans="1:4" s="15" customFormat="1" x14ac:dyDescent="0.3">
      <c r="A89" s="3" t="s">
        <v>427</v>
      </c>
      <c r="B89" s="66" t="s">
        <v>431</v>
      </c>
      <c r="C89" s="66" t="s">
        <v>528</v>
      </c>
      <c r="D89" s="84">
        <v>2765</v>
      </c>
    </row>
    <row r="90" spans="1:4" s="15" customFormat="1" x14ac:dyDescent="0.3">
      <c r="A90" s="3" t="s">
        <v>0</v>
      </c>
      <c r="B90" s="66" t="s">
        <v>23</v>
      </c>
      <c r="C90" s="66" t="s">
        <v>529</v>
      </c>
      <c r="D90" s="84">
        <v>400</v>
      </c>
    </row>
    <row r="91" spans="1:4" s="15" customFormat="1" x14ac:dyDescent="0.3">
      <c r="A91" s="3" t="s">
        <v>150</v>
      </c>
      <c r="B91" s="66" t="s">
        <v>173</v>
      </c>
      <c r="C91" s="66" t="s">
        <v>530</v>
      </c>
      <c r="D91" s="84">
        <v>480</v>
      </c>
    </row>
    <row r="92" spans="1:4" s="15" customFormat="1" x14ac:dyDescent="0.3">
      <c r="A92" s="3" t="s">
        <v>179</v>
      </c>
      <c r="B92" s="66" t="s">
        <v>191</v>
      </c>
      <c r="C92" s="66" t="s">
        <v>531</v>
      </c>
      <c r="D92" s="84">
        <v>610</v>
      </c>
    </row>
    <row r="93" spans="1:4" s="15" customFormat="1" x14ac:dyDescent="0.3">
      <c r="A93" s="3" t="s">
        <v>286</v>
      </c>
      <c r="B93" s="66" t="s">
        <v>210</v>
      </c>
      <c r="C93" s="66" t="s">
        <v>532</v>
      </c>
      <c r="D93" s="84">
        <v>610</v>
      </c>
    </row>
    <row r="94" spans="1:4" s="15" customFormat="1" x14ac:dyDescent="0.3">
      <c r="A94" s="3" t="s">
        <v>357</v>
      </c>
      <c r="B94" s="66" t="s">
        <v>292</v>
      </c>
      <c r="C94" s="66" t="s">
        <v>533</v>
      </c>
      <c r="D94" s="84">
        <v>700</v>
      </c>
    </row>
    <row r="95" spans="1:4" s="15" customFormat="1" x14ac:dyDescent="0.3">
      <c r="A95" s="3" t="s">
        <v>380</v>
      </c>
      <c r="B95" s="66" t="s">
        <v>366</v>
      </c>
      <c r="C95" s="66" t="s">
        <v>534</v>
      </c>
      <c r="D95" s="84">
        <v>825</v>
      </c>
    </row>
    <row r="96" spans="1:4" s="15" customFormat="1" x14ac:dyDescent="0.3">
      <c r="A96" s="3" t="s">
        <v>404</v>
      </c>
      <c r="B96" s="66" t="s">
        <v>387</v>
      </c>
      <c r="C96" s="66" t="s">
        <v>535</v>
      </c>
      <c r="D96" s="84">
        <v>1015</v>
      </c>
    </row>
    <row r="97" spans="1:4" s="16" customFormat="1" x14ac:dyDescent="0.2">
      <c r="A97" s="3" t="s">
        <v>405</v>
      </c>
      <c r="B97" s="66" t="s">
        <v>414</v>
      </c>
      <c r="C97" s="66" t="s">
        <v>536</v>
      </c>
      <c r="D97" s="84">
        <v>1475</v>
      </c>
    </row>
    <row r="98" spans="1:4" s="16" customFormat="1" x14ac:dyDescent="0.2">
      <c r="A98" s="3" t="s">
        <v>427</v>
      </c>
      <c r="B98" s="66" t="s">
        <v>432</v>
      </c>
      <c r="C98" s="66" t="s">
        <v>537</v>
      </c>
      <c r="D98" s="84">
        <v>1545</v>
      </c>
    </row>
    <row r="99" spans="1:4" s="16" customFormat="1" x14ac:dyDescent="0.35">
      <c r="A99" s="3" t="s">
        <v>0</v>
      </c>
      <c r="B99" s="5" t="s">
        <v>24</v>
      </c>
      <c r="C99" s="5" t="s">
        <v>538</v>
      </c>
      <c r="D99" s="85">
        <v>77.459999999999994</v>
      </c>
    </row>
    <row r="100" spans="1:4" s="16" customFormat="1" x14ac:dyDescent="0.35">
      <c r="A100" s="3" t="s">
        <v>0</v>
      </c>
      <c r="B100" s="5" t="s">
        <v>25</v>
      </c>
      <c r="C100" s="5" t="s">
        <v>26</v>
      </c>
      <c r="D100" s="85">
        <v>40.53</v>
      </c>
    </row>
    <row r="101" spans="1:4" s="16" customFormat="1" x14ac:dyDescent="0.2">
      <c r="A101" s="3" t="s">
        <v>150</v>
      </c>
      <c r="B101" s="5" t="s">
        <v>174</v>
      </c>
      <c r="C101" s="5" t="s">
        <v>539</v>
      </c>
      <c r="D101" s="86"/>
    </row>
    <row r="102" spans="1:4" s="16" customFormat="1" x14ac:dyDescent="0.35">
      <c r="A102" s="3" t="s">
        <v>150</v>
      </c>
      <c r="B102" s="5" t="s">
        <v>25</v>
      </c>
      <c r="C102" s="5" t="s">
        <v>26</v>
      </c>
      <c r="D102" s="85">
        <v>40.53</v>
      </c>
    </row>
    <row r="103" spans="1:4" s="16" customFormat="1" x14ac:dyDescent="0.2">
      <c r="A103" s="3" t="s">
        <v>179</v>
      </c>
      <c r="B103" s="5" t="s">
        <v>196</v>
      </c>
      <c r="C103" s="5" t="s">
        <v>540</v>
      </c>
      <c r="D103" s="86"/>
    </row>
    <row r="104" spans="1:4" s="16" customFormat="1" x14ac:dyDescent="0.35">
      <c r="A104" s="3" t="s">
        <v>179</v>
      </c>
      <c r="B104" s="5" t="s">
        <v>25</v>
      </c>
      <c r="C104" s="5" t="s">
        <v>26</v>
      </c>
      <c r="D104" s="85">
        <v>40.53</v>
      </c>
    </row>
    <row r="105" spans="1:4" s="16" customFormat="1" x14ac:dyDescent="0.35">
      <c r="A105" s="3" t="s">
        <v>286</v>
      </c>
      <c r="B105" s="5" t="s">
        <v>24</v>
      </c>
      <c r="C105" s="5" t="s">
        <v>538</v>
      </c>
      <c r="D105" s="85">
        <v>77.459999999999994</v>
      </c>
    </row>
    <row r="106" spans="1:4" s="16" customFormat="1" x14ac:dyDescent="0.35">
      <c r="A106" s="3" t="s">
        <v>286</v>
      </c>
      <c r="B106" s="5" t="s">
        <v>25</v>
      </c>
      <c r="C106" s="5" t="s">
        <v>26</v>
      </c>
      <c r="D106" s="85">
        <v>40.53</v>
      </c>
    </row>
    <row r="107" spans="1:4" s="16" customFormat="1" x14ac:dyDescent="0.35">
      <c r="A107" s="3" t="s">
        <v>357</v>
      </c>
      <c r="B107" s="5" t="s">
        <v>196</v>
      </c>
      <c r="C107" s="5" t="s">
        <v>540</v>
      </c>
      <c r="D107" s="85">
        <v>0</v>
      </c>
    </row>
    <row r="108" spans="1:4" s="16" customFormat="1" x14ac:dyDescent="0.35">
      <c r="A108" s="3" t="s">
        <v>357</v>
      </c>
      <c r="B108" s="5" t="s">
        <v>25</v>
      </c>
      <c r="C108" s="5" t="s">
        <v>26</v>
      </c>
      <c r="D108" s="85">
        <v>40.53</v>
      </c>
    </row>
    <row r="109" spans="1:4" s="16" customFormat="1" x14ac:dyDescent="0.2">
      <c r="A109" s="3" t="s">
        <v>380</v>
      </c>
      <c r="B109" s="5" t="s">
        <v>367</v>
      </c>
      <c r="C109" s="5" t="s">
        <v>541</v>
      </c>
      <c r="D109" s="86"/>
    </row>
    <row r="110" spans="1:4" s="16" customFormat="1" x14ac:dyDescent="0.2">
      <c r="A110" s="3" t="s">
        <v>380</v>
      </c>
      <c r="B110" s="5" t="s">
        <v>25</v>
      </c>
      <c r="C110" s="5" t="s">
        <v>542</v>
      </c>
      <c r="D110" s="79"/>
    </row>
    <row r="111" spans="1:4" s="16" customFormat="1" x14ac:dyDescent="0.35">
      <c r="A111" s="3" t="s">
        <v>404</v>
      </c>
      <c r="B111" s="5" t="s">
        <v>388</v>
      </c>
      <c r="C111" s="5" t="s">
        <v>543</v>
      </c>
      <c r="D111" s="85">
        <v>81.650000000000006</v>
      </c>
    </row>
    <row r="112" spans="1:4" s="16" customFormat="1" x14ac:dyDescent="0.35">
      <c r="A112" s="3" t="s">
        <v>404</v>
      </c>
      <c r="B112" s="5" t="s">
        <v>389</v>
      </c>
      <c r="C112" s="5" t="s">
        <v>544</v>
      </c>
      <c r="D112" s="85">
        <v>81.650000000000006</v>
      </c>
    </row>
    <row r="113" spans="1:4" s="16" customFormat="1" x14ac:dyDescent="0.2">
      <c r="A113" s="3" t="s">
        <v>405</v>
      </c>
      <c r="B113" s="5" t="s">
        <v>415</v>
      </c>
      <c r="C113" s="5" t="s">
        <v>545</v>
      </c>
      <c r="D113" s="79"/>
    </row>
    <row r="114" spans="1:4" s="16" customFormat="1" x14ac:dyDescent="0.35">
      <c r="A114" s="3" t="s">
        <v>405</v>
      </c>
      <c r="B114" s="5" t="s">
        <v>389</v>
      </c>
      <c r="C114" s="5" t="s">
        <v>544</v>
      </c>
      <c r="D114" s="85">
        <v>81.650000000000006</v>
      </c>
    </row>
    <row r="115" spans="1:4" s="16" customFormat="1" x14ac:dyDescent="0.2">
      <c r="A115" s="3" t="s">
        <v>427</v>
      </c>
      <c r="B115" s="5" t="s">
        <v>433</v>
      </c>
      <c r="C115" s="5" t="s">
        <v>546</v>
      </c>
      <c r="D115" s="79"/>
    </row>
    <row r="116" spans="1:4" s="16" customFormat="1" x14ac:dyDescent="0.35">
      <c r="A116" s="3" t="s">
        <v>427</v>
      </c>
      <c r="B116" s="5" t="s">
        <v>389</v>
      </c>
      <c r="C116" s="5" t="s">
        <v>544</v>
      </c>
      <c r="D116" s="85">
        <v>81.650000000000006</v>
      </c>
    </row>
    <row r="117" spans="1:4" s="16" customFormat="1" x14ac:dyDescent="0.2">
      <c r="A117" s="3" t="s">
        <v>0</v>
      </c>
      <c r="B117" s="66" t="s">
        <v>61</v>
      </c>
      <c r="C117" s="66" t="s">
        <v>547</v>
      </c>
      <c r="D117" s="80">
        <v>342</v>
      </c>
    </row>
    <row r="118" spans="1:4" s="16" customFormat="1" x14ac:dyDescent="0.2">
      <c r="A118" s="3" t="s">
        <v>0</v>
      </c>
      <c r="B118" s="66" t="s">
        <v>61</v>
      </c>
      <c r="C118" s="66" t="s">
        <v>547</v>
      </c>
      <c r="D118" s="80">
        <v>342</v>
      </c>
    </row>
    <row r="119" spans="1:4" s="16" customFormat="1" x14ac:dyDescent="0.2">
      <c r="A119" s="3" t="s">
        <v>150</v>
      </c>
      <c r="B119" s="66" t="s">
        <v>175</v>
      </c>
      <c r="C119" s="66" t="s">
        <v>176</v>
      </c>
      <c r="D119" s="80">
        <v>370</v>
      </c>
    </row>
    <row r="120" spans="1:4" s="16" customFormat="1" x14ac:dyDescent="0.2">
      <c r="A120" s="3" t="s">
        <v>150</v>
      </c>
      <c r="B120" s="66" t="s">
        <v>175</v>
      </c>
      <c r="C120" s="66" t="s">
        <v>176</v>
      </c>
      <c r="D120" s="80">
        <v>370</v>
      </c>
    </row>
    <row r="121" spans="1:4" s="16" customFormat="1" x14ac:dyDescent="0.2">
      <c r="A121" s="3" t="s">
        <v>286</v>
      </c>
      <c r="B121" s="66" t="s">
        <v>215</v>
      </c>
      <c r="C121" s="66" t="s">
        <v>216</v>
      </c>
      <c r="D121" s="80">
        <v>618.9</v>
      </c>
    </row>
    <row r="122" spans="1:4" s="16" customFormat="1" x14ac:dyDescent="0.2">
      <c r="A122" s="3" t="s">
        <v>286</v>
      </c>
      <c r="B122" s="66" t="s">
        <v>215</v>
      </c>
      <c r="C122" s="66" t="s">
        <v>216</v>
      </c>
      <c r="D122" s="80">
        <v>618.9</v>
      </c>
    </row>
    <row r="123" spans="1:4" s="16" customFormat="1" x14ac:dyDescent="0.2">
      <c r="A123" s="3" t="s">
        <v>357</v>
      </c>
      <c r="B123" s="66" t="s">
        <v>293</v>
      </c>
      <c r="C123" s="66" t="s">
        <v>294</v>
      </c>
      <c r="D123" s="80">
        <v>812.4</v>
      </c>
    </row>
    <row r="124" spans="1:4" s="16" customFormat="1" x14ac:dyDescent="0.2">
      <c r="A124" s="3" t="s">
        <v>357</v>
      </c>
      <c r="B124" s="66" t="s">
        <v>293</v>
      </c>
      <c r="C124" s="66" t="s">
        <v>294</v>
      </c>
      <c r="D124" s="80">
        <v>812.4</v>
      </c>
    </row>
    <row r="125" spans="1:4" s="16" customFormat="1" x14ac:dyDescent="0.2">
      <c r="A125" s="3" t="s">
        <v>380</v>
      </c>
      <c r="B125" s="66" t="s">
        <v>368</v>
      </c>
      <c r="C125" s="66" t="s">
        <v>369</v>
      </c>
      <c r="D125" s="80">
        <v>574.29999999999995</v>
      </c>
    </row>
    <row r="126" spans="1:4" s="16" customFormat="1" x14ac:dyDescent="0.2">
      <c r="A126" s="3" t="s">
        <v>380</v>
      </c>
      <c r="B126" s="66" t="s">
        <v>293</v>
      </c>
      <c r="C126" s="66" t="s">
        <v>294</v>
      </c>
      <c r="D126" s="80">
        <v>812.4</v>
      </c>
    </row>
    <row r="127" spans="1:4" s="16" customFormat="1" x14ac:dyDescent="0.2">
      <c r="A127" s="3" t="s">
        <v>404</v>
      </c>
      <c r="B127" s="66" t="s">
        <v>390</v>
      </c>
      <c r="C127" s="66" t="s">
        <v>391</v>
      </c>
      <c r="D127" s="80">
        <v>778.9</v>
      </c>
    </row>
    <row r="128" spans="1:4" s="16" customFormat="1" x14ac:dyDescent="0.2">
      <c r="A128" s="3" t="s">
        <v>404</v>
      </c>
      <c r="B128" s="66" t="s">
        <v>390</v>
      </c>
      <c r="C128" s="66" t="s">
        <v>391</v>
      </c>
      <c r="D128" s="80">
        <v>778.9</v>
      </c>
    </row>
    <row r="129" spans="1:4" s="16" customFormat="1" x14ac:dyDescent="0.2">
      <c r="A129" s="3" t="s">
        <v>405</v>
      </c>
      <c r="B129" s="66" t="s">
        <v>293</v>
      </c>
      <c r="C129" s="66" t="s">
        <v>294</v>
      </c>
      <c r="D129" s="80">
        <v>812.4</v>
      </c>
    </row>
    <row r="130" spans="1:4" s="16" customFormat="1" x14ac:dyDescent="0.2">
      <c r="A130" s="3" t="s">
        <v>405</v>
      </c>
      <c r="B130" s="66" t="s">
        <v>390</v>
      </c>
      <c r="C130" s="66" t="s">
        <v>391</v>
      </c>
      <c r="D130" s="80">
        <v>778.9</v>
      </c>
    </row>
    <row r="131" spans="1:4" s="16" customFormat="1" x14ac:dyDescent="0.2">
      <c r="A131" s="3" t="s">
        <v>427</v>
      </c>
      <c r="B131" s="66" t="s">
        <v>390</v>
      </c>
      <c r="C131" s="66" t="s">
        <v>391</v>
      </c>
      <c r="D131" s="80">
        <v>778.9</v>
      </c>
    </row>
    <row r="132" spans="1:4" s="16" customFormat="1" x14ac:dyDescent="0.2">
      <c r="A132" s="3" t="s">
        <v>427</v>
      </c>
      <c r="B132" s="66" t="s">
        <v>390</v>
      </c>
      <c r="C132" s="66" t="s">
        <v>391</v>
      </c>
      <c r="D132" s="80">
        <v>778.9</v>
      </c>
    </row>
    <row r="133" spans="1:4" s="16" customFormat="1" x14ac:dyDescent="0.2">
      <c r="A133" s="96" t="s">
        <v>0</v>
      </c>
      <c r="B133" s="66" t="s">
        <v>137</v>
      </c>
      <c r="C133" s="66" t="s">
        <v>138</v>
      </c>
      <c r="D133" s="80">
        <v>23.06</v>
      </c>
    </row>
    <row r="134" spans="1:4" s="16" customFormat="1" x14ac:dyDescent="0.2">
      <c r="A134" s="96"/>
      <c r="B134" s="66" t="s">
        <v>139</v>
      </c>
      <c r="C134" s="66" t="s">
        <v>140</v>
      </c>
      <c r="D134" s="80">
        <v>28.23</v>
      </c>
    </row>
    <row r="135" spans="1:4" s="16" customFormat="1" x14ac:dyDescent="0.2">
      <c r="A135" s="96"/>
      <c r="B135" s="66" t="s">
        <v>141</v>
      </c>
      <c r="C135" s="66" t="s">
        <v>142</v>
      </c>
      <c r="D135" s="80">
        <v>22.12</v>
      </c>
    </row>
    <row r="136" spans="1:4" s="16" customFormat="1" x14ac:dyDescent="0.2">
      <c r="A136" s="96"/>
      <c r="B136" s="66" t="s">
        <v>143</v>
      </c>
      <c r="C136" s="66" t="s">
        <v>144</v>
      </c>
      <c r="D136" s="80">
        <v>27.29</v>
      </c>
    </row>
    <row r="137" spans="1:4" s="16" customFormat="1" x14ac:dyDescent="0.2">
      <c r="A137" s="96" t="s">
        <v>150</v>
      </c>
      <c r="B137" s="66" t="s">
        <v>137</v>
      </c>
      <c r="C137" s="66" t="s">
        <v>138</v>
      </c>
      <c r="D137" s="80">
        <v>23.06</v>
      </c>
    </row>
    <row r="138" spans="1:4" s="16" customFormat="1" x14ac:dyDescent="0.2">
      <c r="A138" s="96"/>
      <c r="B138" s="66" t="s">
        <v>139</v>
      </c>
      <c r="C138" s="66" t="s">
        <v>140</v>
      </c>
      <c r="D138" s="80">
        <v>28.23</v>
      </c>
    </row>
    <row r="139" spans="1:4" s="16" customFormat="1" x14ac:dyDescent="0.2">
      <c r="A139" s="96"/>
      <c r="B139" s="66" t="s">
        <v>141</v>
      </c>
      <c r="C139" s="66" t="s">
        <v>142</v>
      </c>
      <c r="D139" s="80">
        <v>22.12</v>
      </c>
    </row>
    <row r="140" spans="1:4" s="16" customFormat="1" x14ac:dyDescent="0.2">
      <c r="A140" s="96"/>
      <c r="B140" s="66" t="s">
        <v>143</v>
      </c>
      <c r="C140" s="66" t="s">
        <v>144</v>
      </c>
      <c r="D140" s="80">
        <v>27.29</v>
      </c>
    </row>
    <row r="141" spans="1:4" s="16" customFormat="1" x14ac:dyDescent="0.2">
      <c r="A141" s="96" t="s">
        <v>179</v>
      </c>
      <c r="B141" s="66" t="s">
        <v>139</v>
      </c>
      <c r="C141" s="66" t="s">
        <v>140</v>
      </c>
      <c r="D141" s="80">
        <v>28.23</v>
      </c>
    </row>
    <row r="142" spans="1:4" s="16" customFormat="1" x14ac:dyDescent="0.2">
      <c r="A142" s="96"/>
      <c r="B142" s="66" t="s">
        <v>143</v>
      </c>
      <c r="C142" s="66" t="s">
        <v>144</v>
      </c>
      <c r="D142" s="80">
        <v>27.29</v>
      </c>
    </row>
    <row r="143" spans="1:4" s="16" customFormat="1" x14ac:dyDescent="0.2">
      <c r="A143" s="96" t="s">
        <v>286</v>
      </c>
      <c r="B143" s="66" t="s">
        <v>211</v>
      </c>
      <c r="C143" s="66" t="s">
        <v>212</v>
      </c>
      <c r="D143" s="80">
        <v>4.43</v>
      </c>
    </row>
    <row r="144" spans="1:4" s="16" customFormat="1" x14ac:dyDescent="0.2">
      <c r="A144" s="96"/>
      <c r="B144" s="66" t="s">
        <v>213</v>
      </c>
      <c r="C144" s="66" t="s">
        <v>214</v>
      </c>
      <c r="D144" s="80">
        <v>3.04</v>
      </c>
    </row>
    <row r="145" spans="1:4" s="16" customFormat="1" x14ac:dyDescent="0.2">
      <c r="A145" s="96"/>
      <c r="B145" s="66" t="s">
        <v>463</v>
      </c>
      <c r="C145" s="66" t="s">
        <v>464</v>
      </c>
      <c r="D145" s="80">
        <v>7.15</v>
      </c>
    </row>
    <row r="146" spans="1:4" s="16" customFormat="1" x14ac:dyDescent="0.2">
      <c r="A146" s="96"/>
      <c r="B146" s="66" t="s">
        <v>465</v>
      </c>
      <c r="C146" s="66" t="s">
        <v>466</v>
      </c>
      <c r="D146" s="80">
        <v>4.37</v>
      </c>
    </row>
    <row r="147" spans="1:4" s="16" customFormat="1" x14ac:dyDescent="0.2">
      <c r="A147" s="96"/>
      <c r="B147" s="66" t="s">
        <v>459</v>
      </c>
      <c r="C147" s="66" t="s">
        <v>460</v>
      </c>
      <c r="D147" s="80">
        <v>4.55</v>
      </c>
    </row>
    <row r="148" spans="1:4" s="16" customFormat="1" x14ac:dyDescent="0.2">
      <c r="A148" s="96"/>
      <c r="B148" s="66" t="s">
        <v>461</v>
      </c>
      <c r="C148" s="66" t="s">
        <v>462</v>
      </c>
      <c r="D148" s="80">
        <v>2.96</v>
      </c>
    </row>
    <row r="149" spans="1:4" s="16" customFormat="1" x14ac:dyDescent="0.2">
      <c r="A149" s="96" t="s">
        <v>357</v>
      </c>
      <c r="B149" s="66" t="s">
        <v>211</v>
      </c>
      <c r="C149" s="66" t="s">
        <v>212</v>
      </c>
      <c r="D149" s="80">
        <v>4.43</v>
      </c>
    </row>
    <row r="150" spans="1:4" s="16" customFormat="1" x14ac:dyDescent="0.2">
      <c r="A150" s="96"/>
      <c r="B150" s="66" t="s">
        <v>213</v>
      </c>
      <c r="C150" s="66" t="s">
        <v>214</v>
      </c>
      <c r="D150" s="80">
        <v>3.04</v>
      </c>
    </row>
    <row r="151" spans="1:4" s="16" customFormat="1" x14ac:dyDescent="0.2">
      <c r="A151" s="96"/>
      <c r="B151" s="66" t="s">
        <v>297</v>
      </c>
      <c r="C151" s="66" t="s">
        <v>298</v>
      </c>
      <c r="D151" s="80">
        <v>2</v>
      </c>
    </row>
    <row r="152" spans="1:4" s="16" customFormat="1" x14ac:dyDescent="0.2">
      <c r="A152" s="96"/>
      <c r="B152" s="66" t="s">
        <v>459</v>
      </c>
      <c r="C152" s="66" t="s">
        <v>460</v>
      </c>
      <c r="D152" s="80">
        <v>4.55</v>
      </c>
    </row>
    <row r="153" spans="1:4" s="16" customFormat="1" x14ac:dyDescent="0.2">
      <c r="A153" s="96"/>
      <c r="B153" s="66" t="s">
        <v>461</v>
      </c>
      <c r="C153" s="66" t="s">
        <v>462</v>
      </c>
      <c r="D153" s="80">
        <v>2.96</v>
      </c>
    </row>
    <row r="154" spans="1:4" s="16" customFormat="1" x14ac:dyDescent="0.2">
      <c r="A154" s="96"/>
      <c r="B154" s="66" t="s">
        <v>467</v>
      </c>
      <c r="C154" s="66" t="s">
        <v>468</v>
      </c>
      <c r="D154" s="80">
        <v>2</v>
      </c>
    </row>
    <row r="155" spans="1:4" s="16" customFormat="1" x14ac:dyDescent="0.2">
      <c r="A155" s="96"/>
      <c r="B155" s="66" t="s">
        <v>463</v>
      </c>
      <c r="C155" s="66" t="s">
        <v>464</v>
      </c>
      <c r="D155" s="80">
        <v>7.15</v>
      </c>
    </row>
    <row r="156" spans="1:4" s="16" customFormat="1" x14ac:dyDescent="0.2">
      <c r="A156" s="96"/>
      <c r="B156" s="66" t="s">
        <v>465</v>
      </c>
      <c r="C156" s="66" t="s">
        <v>466</v>
      </c>
      <c r="D156" s="80">
        <v>4.37</v>
      </c>
    </row>
    <row r="157" spans="1:4" s="16" customFormat="1" x14ac:dyDescent="0.2">
      <c r="A157" s="96"/>
      <c r="B157" s="66" t="s">
        <v>295</v>
      </c>
      <c r="C157" s="66" t="s">
        <v>296</v>
      </c>
      <c r="D157" s="80">
        <v>3.3</v>
      </c>
    </row>
    <row r="158" spans="1:4" s="16" customFormat="1" x14ac:dyDescent="0.2">
      <c r="A158" s="96" t="s">
        <v>380</v>
      </c>
      <c r="B158" s="66" t="s">
        <v>211</v>
      </c>
      <c r="C158" s="66" t="s">
        <v>212</v>
      </c>
      <c r="D158" s="80">
        <v>4.43</v>
      </c>
    </row>
    <row r="159" spans="1:4" s="16" customFormat="1" x14ac:dyDescent="0.2">
      <c r="A159" s="96"/>
      <c r="B159" s="66" t="s">
        <v>213</v>
      </c>
      <c r="C159" s="66" t="s">
        <v>214</v>
      </c>
      <c r="D159" s="80">
        <v>3.04</v>
      </c>
    </row>
    <row r="160" spans="1:4" s="16" customFormat="1" x14ac:dyDescent="0.2">
      <c r="A160" s="96"/>
      <c r="B160" s="66" t="s">
        <v>459</v>
      </c>
      <c r="C160" s="66" t="s">
        <v>460</v>
      </c>
      <c r="D160" s="80">
        <v>4.55</v>
      </c>
    </row>
    <row r="161" spans="1:4" s="16" customFormat="1" x14ac:dyDescent="0.2">
      <c r="A161" s="96"/>
      <c r="B161" s="66" t="s">
        <v>461</v>
      </c>
      <c r="C161" s="66" t="s">
        <v>462</v>
      </c>
      <c r="D161" s="80">
        <v>2.96</v>
      </c>
    </row>
    <row r="162" spans="1:4" s="16" customFormat="1" x14ac:dyDescent="0.2">
      <c r="A162" s="96"/>
      <c r="B162" s="66" t="s">
        <v>463</v>
      </c>
      <c r="C162" s="66" t="s">
        <v>464</v>
      </c>
      <c r="D162" s="80">
        <v>7.15</v>
      </c>
    </row>
    <row r="163" spans="1:4" s="16" customFormat="1" x14ac:dyDescent="0.2">
      <c r="A163" s="96"/>
      <c r="B163" s="66" t="s">
        <v>465</v>
      </c>
      <c r="C163" s="66" t="s">
        <v>466</v>
      </c>
      <c r="D163" s="80">
        <v>4.37</v>
      </c>
    </row>
    <row r="164" spans="1:4" s="16" customFormat="1" x14ac:dyDescent="0.2">
      <c r="A164" s="96" t="s">
        <v>404</v>
      </c>
      <c r="B164" s="66" t="s">
        <v>211</v>
      </c>
      <c r="C164" s="66" t="s">
        <v>212</v>
      </c>
      <c r="D164" s="80">
        <v>4.43</v>
      </c>
    </row>
    <row r="165" spans="1:4" s="16" customFormat="1" x14ac:dyDescent="0.2">
      <c r="A165" s="96"/>
      <c r="B165" s="66" t="s">
        <v>213</v>
      </c>
      <c r="C165" s="66" t="s">
        <v>214</v>
      </c>
      <c r="D165" s="80">
        <v>3.04</v>
      </c>
    </row>
    <row r="166" spans="1:4" s="16" customFormat="1" x14ac:dyDescent="0.2">
      <c r="A166" s="96"/>
      <c r="B166" s="66" t="s">
        <v>459</v>
      </c>
      <c r="C166" s="66" t="s">
        <v>460</v>
      </c>
      <c r="D166" s="80">
        <v>4.55</v>
      </c>
    </row>
    <row r="167" spans="1:4" s="16" customFormat="1" x14ac:dyDescent="0.2">
      <c r="A167" s="96"/>
      <c r="B167" s="66" t="s">
        <v>461</v>
      </c>
      <c r="C167" s="66" t="s">
        <v>462</v>
      </c>
      <c r="D167" s="80">
        <v>2.96</v>
      </c>
    </row>
    <row r="168" spans="1:4" s="16" customFormat="1" x14ac:dyDescent="0.2">
      <c r="A168" s="96"/>
      <c r="B168" s="66" t="s">
        <v>463</v>
      </c>
      <c r="C168" s="66" t="s">
        <v>464</v>
      </c>
      <c r="D168" s="80">
        <v>7.15</v>
      </c>
    </row>
    <row r="169" spans="1:4" s="16" customFormat="1" x14ac:dyDescent="0.2">
      <c r="A169" s="96"/>
      <c r="B169" s="66" t="s">
        <v>465</v>
      </c>
      <c r="C169" s="66" t="s">
        <v>466</v>
      </c>
      <c r="D169" s="80">
        <v>4.37</v>
      </c>
    </row>
    <row r="170" spans="1:4" s="16" customFormat="1" x14ac:dyDescent="0.2">
      <c r="A170" s="96" t="s">
        <v>405</v>
      </c>
      <c r="B170" s="66" t="s">
        <v>211</v>
      </c>
      <c r="C170" s="66" t="s">
        <v>212</v>
      </c>
      <c r="D170" s="80">
        <v>4.43</v>
      </c>
    </row>
    <row r="171" spans="1:4" s="16" customFormat="1" x14ac:dyDescent="0.2">
      <c r="A171" s="96"/>
      <c r="B171" s="66" t="s">
        <v>213</v>
      </c>
      <c r="C171" s="66" t="s">
        <v>214</v>
      </c>
      <c r="D171" s="80">
        <v>3.04</v>
      </c>
    </row>
    <row r="172" spans="1:4" s="16" customFormat="1" x14ac:dyDescent="0.2">
      <c r="A172" s="96"/>
      <c r="B172" s="66" t="s">
        <v>297</v>
      </c>
      <c r="C172" s="66" t="s">
        <v>298</v>
      </c>
      <c r="D172" s="80">
        <v>2</v>
      </c>
    </row>
    <row r="173" spans="1:4" s="16" customFormat="1" x14ac:dyDescent="0.2">
      <c r="A173" s="96"/>
      <c r="B173" s="66" t="s">
        <v>459</v>
      </c>
      <c r="C173" s="66" t="s">
        <v>460</v>
      </c>
      <c r="D173" s="80">
        <v>4.55</v>
      </c>
    </row>
    <row r="174" spans="1:4" s="16" customFormat="1" x14ac:dyDescent="0.2">
      <c r="A174" s="96"/>
      <c r="B174" s="66" t="s">
        <v>461</v>
      </c>
      <c r="C174" s="66" t="s">
        <v>462</v>
      </c>
      <c r="D174" s="80">
        <v>2.96</v>
      </c>
    </row>
    <row r="175" spans="1:4" s="16" customFormat="1" x14ac:dyDescent="0.2">
      <c r="A175" s="96"/>
      <c r="B175" s="66" t="s">
        <v>467</v>
      </c>
      <c r="C175" s="66" t="s">
        <v>468</v>
      </c>
      <c r="D175" s="80">
        <v>2</v>
      </c>
    </row>
    <row r="176" spans="1:4" s="16" customFormat="1" x14ac:dyDescent="0.2">
      <c r="A176" s="96"/>
      <c r="B176" s="66" t="s">
        <v>463</v>
      </c>
      <c r="C176" s="66" t="s">
        <v>464</v>
      </c>
      <c r="D176" s="80">
        <v>7.15</v>
      </c>
    </row>
    <row r="177" spans="1:4" s="16" customFormat="1" x14ac:dyDescent="0.2">
      <c r="A177" s="96"/>
      <c r="B177" s="66" t="s">
        <v>465</v>
      </c>
      <c r="C177" s="66" t="s">
        <v>466</v>
      </c>
      <c r="D177" s="80">
        <v>4.37</v>
      </c>
    </row>
    <row r="178" spans="1:4" s="16" customFormat="1" x14ac:dyDescent="0.2">
      <c r="A178" s="96"/>
      <c r="B178" s="66" t="s">
        <v>295</v>
      </c>
      <c r="C178" s="66" t="s">
        <v>296</v>
      </c>
      <c r="D178" s="80">
        <v>3.3</v>
      </c>
    </row>
    <row r="179" spans="1:4" s="16" customFormat="1" x14ac:dyDescent="0.2">
      <c r="A179" s="96" t="s">
        <v>427</v>
      </c>
      <c r="B179" s="66" t="s">
        <v>211</v>
      </c>
      <c r="C179" s="66" t="s">
        <v>212</v>
      </c>
      <c r="D179" s="80">
        <v>4.43</v>
      </c>
    </row>
    <row r="180" spans="1:4" s="16" customFormat="1" x14ac:dyDescent="0.2">
      <c r="A180" s="96"/>
      <c r="B180" s="66" t="s">
        <v>213</v>
      </c>
      <c r="C180" s="66" t="s">
        <v>214</v>
      </c>
      <c r="D180" s="80">
        <v>3.04</v>
      </c>
    </row>
    <row r="181" spans="1:4" s="16" customFormat="1" x14ac:dyDescent="0.2">
      <c r="A181" s="96"/>
      <c r="B181" s="66" t="s">
        <v>297</v>
      </c>
      <c r="C181" s="66" t="s">
        <v>298</v>
      </c>
      <c r="D181" s="80">
        <v>2</v>
      </c>
    </row>
    <row r="182" spans="1:4" s="16" customFormat="1" x14ac:dyDescent="0.2">
      <c r="A182" s="96"/>
      <c r="B182" s="66" t="s">
        <v>459</v>
      </c>
      <c r="C182" s="66" t="s">
        <v>460</v>
      </c>
      <c r="D182" s="80">
        <v>4.55</v>
      </c>
    </row>
    <row r="183" spans="1:4" s="16" customFormat="1" x14ac:dyDescent="0.2">
      <c r="A183" s="96"/>
      <c r="B183" s="66" t="s">
        <v>461</v>
      </c>
      <c r="C183" s="66" t="s">
        <v>462</v>
      </c>
      <c r="D183" s="80">
        <v>2.96</v>
      </c>
    </row>
    <row r="184" spans="1:4" s="16" customFormat="1" x14ac:dyDescent="0.2">
      <c r="A184" s="96"/>
      <c r="B184" s="66" t="s">
        <v>467</v>
      </c>
      <c r="C184" s="66" t="s">
        <v>468</v>
      </c>
      <c r="D184" s="80">
        <v>2</v>
      </c>
    </row>
    <row r="185" spans="1:4" s="16" customFormat="1" x14ac:dyDescent="0.2">
      <c r="A185" s="96"/>
      <c r="B185" s="66" t="s">
        <v>463</v>
      </c>
      <c r="C185" s="66" t="s">
        <v>464</v>
      </c>
      <c r="D185" s="80">
        <v>7.15</v>
      </c>
    </row>
    <row r="186" spans="1:4" s="16" customFormat="1" x14ac:dyDescent="0.2">
      <c r="A186" s="96"/>
      <c r="B186" s="66" t="s">
        <v>465</v>
      </c>
      <c r="C186" s="66" t="s">
        <v>466</v>
      </c>
      <c r="D186" s="80">
        <v>4.37</v>
      </c>
    </row>
    <row r="187" spans="1:4" s="16" customFormat="1" x14ac:dyDescent="0.2">
      <c r="A187" s="96"/>
      <c r="B187" s="66" t="s">
        <v>295</v>
      </c>
      <c r="C187" s="66" t="s">
        <v>296</v>
      </c>
      <c r="D187" s="80">
        <v>3.3</v>
      </c>
    </row>
    <row r="188" spans="1:4" s="16" customFormat="1" x14ac:dyDescent="0.2">
      <c r="A188" s="3"/>
      <c r="B188" s="66" t="s">
        <v>575</v>
      </c>
      <c r="C188" s="66" t="s">
        <v>577</v>
      </c>
      <c r="D188" s="80">
        <v>6.91</v>
      </c>
    </row>
    <row r="189" spans="1:4" s="16" customFormat="1" x14ac:dyDescent="0.2">
      <c r="A189" s="3"/>
      <c r="B189" s="66" t="s">
        <v>576</v>
      </c>
      <c r="C189" s="66" t="s">
        <v>578</v>
      </c>
      <c r="D189" s="80">
        <v>4.47</v>
      </c>
    </row>
    <row r="190" spans="1:4" s="16" customFormat="1" x14ac:dyDescent="0.3">
      <c r="A190" s="18"/>
      <c r="B190" s="66" t="s">
        <v>579</v>
      </c>
      <c r="C190" s="66" t="s">
        <v>580</v>
      </c>
      <c r="D190" s="87">
        <v>4</v>
      </c>
    </row>
    <row r="191" spans="1:4" s="16" customFormat="1" x14ac:dyDescent="0.2">
      <c r="A191" s="3"/>
      <c r="B191" s="66" t="s">
        <v>372</v>
      </c>
      <c r="C191" s="66" t="s">
        <v>373</v>
      </c>
      <c r="D191" s="80">
        <v>0.3</v>
      </c>
    </row>
    <row r="192" spans="1:4" s="16" customFormat="1" x14ac:dyDescent="0.2">
      <c r="A192" s="3"/>
      <c r="B192" s="66" t="s">
        <v>469</v>
      </c>
      <c r="C192" s="66" t="s">
        <v>470</v>
      </c>
      <c r="D192" s="80">
        <v>0.26</v>
      </c>
    </row>
    <row r="193" spans="1:4" s="16" customFormat="1" x14ac:dyDescent="0.2">
      <c r="A193" s="3"/>
      <c r="B193" s="66" t="s">
        <v>86</v>
      </c>
      <c r="C193" s="66" t="s">
        <v>85</v>
      </c>
      <c r="D193" s="80">
        <v>0.4</v>
      </c>
    </row>
    <row r="194" spans="1:4" s="16" customFormat="1" x14ac:dyDescent="0.2">
      <c r="A194" s="3"/>
      <c r="B194" s="66" t="s">
        <v>355</v>
      </c>
      <c r="C194" s="66" t="s">
        <v>356</v>
      </c>
      <c r="D194" s="80">
        <v>0.3</v>
      </c>
    </row>
    <row r="195" spans="1:4" s="16" customFormat="1" x14ac:dyDescent="0.2">
      <c r="A195" s="3"/>
      <c r="B195" s="66" t="s">
        <v>471</v>
      </c>
      <c r="C195" s="66" t="s">
        <v>472</v>
      </c>
      <c r="D195" s="80">
        <v>1.6E-2</v>
      </c>
    </row>
    <row r="196" spans="1:4" s="20" customFormat="1" x14ac:dyDescent="0.2">
      <c r="A196" s="3"/>
      <c r="B196" s="66" t="s">
        <v>402</v>
      </c>
      <c r="C196" s="66" t="s">
        <v>403</v>
      </c>
      <c r="D196" s="80">
        <v>1.6E-2</v>
      </c>
    </row>
    <row r="197" spans="1:4" s="16" customFormat="1" x14ac:dyDescent="0.2">
      <c r="A197" s="3" t="s">
        <v>473</v>
      </c>
      <c r="B197" s="66" t="s">
        <v>87</v>
      </c>
      <c r="C197" s="66" t="s">
        <v>88</v>
      </c>
      <c r="D197" s="80">
        <v>1615.6</v>
      </c>
    </row>
    <row r="198" spans="1:4" s="16" customFormat="1" x14ac:dyDescent="0.2">
      <c r="A198" s="3" t="s">
        <v>473</v>
      </c>
      <c r="B198" s="66" t="s">
        <v>69</v>
      </c>
      <c r="C198" s="66" t="s">
        <v>81</v>
      </c>
      <c r="D198" s="80">
        <v>40</v>
      </c>
    </row>
    <row r="199" spans="1:4" s="16" customFormat="1" x14ac:dyDescent="0.2">
      <c r="A199" s="3" t="s">
        <v>473</v>
      </c>
      <c r="B199" s="66" t="s">
        <v>89</v>
      </c>
      <c r="C199" s="66" t="s">
        <v>75</v>
      </c>
      <c r="D199" s="80">
        <v>150</v>
      </c>
    </row>
    <row r="200" spans="1:4" s="16" customFormat="1" x14ac:dyDescent="0.2">
      <c r="A200" s="3" t="s">
        <v>473</v>
      </c>
      <c r="B200" s="66" t="s">
        <v>65</v>
      </c>
      <c r="C200" s="66" t="s">
        <v>77</v>
      </c>
      <c r="D200" s="80">
        <v>150</v>
      </c>
    </row>
    <row r="201" spans="1:4" s="16" customFormat="1" x14ac:dyDescent="0.35">
      <c r="A201" s="3" t="s">
        <v>473</v>
      </c>
      <c r="B201" s="66" t="s">
        <v>27</v>
      </c>
      <c r="C201" s="66" t="s">
        <v>28</v>
      </c>
      <c r="D201" s="82">
        <v>4.76</v>
      </c>
    </row>
    <row r="202" spans="1:4" s="16" customFormat="1" x14ac:dyDescent="0.35">
      <c r="A202" s="3" t="s">
        <v>473</v>
      </c>
      <c r="B202" s="66" t="s">
        <v>29</v>
      </c>
      <c r="C202" s="66" t="s">
        <v>30</v>
      </c>
      <c r="D202" s="82">
        <v>4.76</v>
      </c>
    </row>
    <row r="203" spans="1:4" x14ac:dyDescent="0.35">
      <c r="A203" s="3" t="s">
        <v>473</v>
      </c>
      <c r="B203" s="5" t="s">
        <v>49</v>
      </c>
      <c r="C203" s="5" t="s">
        <v>50</v>
      </c>
      <c r="D203" s="85">
        <v>46.47</v>
      </c>
    </row>
    <row r="204" spans="1:4" x14ac:dyDescent="0.3">
      <c r="A204" s="3" t="s">
        <v>473</v>
      </c>
      <c r="B204" s="5" t="s">
        <v>51</v>
      </c>
      <c r="C204" s="5" t="s">
        <v>52</v>
      </c>
      <c r="D204" s="86">
        <v>74.48</v>
      </c>
    </row>
    <row r="205" spans="1:4" x14ac:dyDescent="0.35">
      <c r="A205" s="3" t="s">
        <v>473</v>
      </c>
      <c r="B205" s="5" t="s">
        <v>31</v>
      </c>
      <c r="C205" s="5" t="s">
        <v>32</v>
      </c>
      <c r="D205" s="85">
        <v>675.52</v>
      </c>
    </row>
    <row r="206" spans="1:4" x14ac:dyDescent="0.35">
      <c r="A206" s="3" t="s">
        <v>473</v>
      </c>
      <c r="B206" s="5" t="s">
        <v>33</v>
      </c>
      <c r="C206" s="5" t="s">
        <v>34</v>
      </c>
      <c r="D206" s="85">
        <v>23.17</v>
      </c>
    </row>
    <row r="207" spans="1:4" x14ac:dyDescent="0.35">
      <c r="A207" s="3" t="s">
        <v>473</v>
      </c>
      <c r="B207" s="5" t="s">
        <v>35</v>
      </c>
      <c r="C207" s="5" t="s">
        <v>36</v>
      </c>
      <c r="D207" s="85">
        <v>130.16</v>
      </c>
    </row>
    <row r="208" spans="1:4" x14ac:dyDescent="0.35">
      <c r="A208" s="3" t="s">
        <v>473</v>
      </c>
      <c r="B208" s="5" t="s">
        <v>37</v>
      </c>
      <c r="C208" s="5" t="s">
        <v>38</v>
      </c>
      <c r="D208" s="85">
        <v>130.16</v>
      </c>
    </row>
    <row r="209" spans="1:6" x14ac:dyDescent="0.35">
      <c r="A209" s="3" t="s">
        <v>473</v>
      </c>
      <c r="B209" s="5" t="s">
        <v>39</v>
      </c>
      <c r="C209" s="5" t="s">
        <v>40</v>
      </c>
      <c r="D209" s="85">
        <v>4.7300000000000004</v>
      </c>
    </row>
    <row r="210" spans="1:6" x14ac:dyDescent="0.35">
      <c r="A210" s="3" t="s">
        <v>473</v>
      </c>
      <c r="B210" s="5" t="s">
        <v>41</v>
      </c>
      <c r="C210" s="5" t="s">
        <v>42</v>
      </c>
      <c r="D210" s="85">
        <v>155.05000000000001</v>
      </c>
    </row>
    <row r="211" spans="1:6" x14ac:dyDescent="0.35">
      <c r="A211" s="3" t="s">
        <v>473</v>
      </c>
      <c r="B211" s="5" t="s">
        <v>43</v>
      </c>
      <c r="C211" s="5" t="s">
        <v>44</v>
      </c>
      <c r="D211" s="85">
        <v>238.61</v>
      </c>
    </row>
    <row r="212" spans="1:6" x14ac:dyDescent="0.35">
      <c r="A212" s="3" t="s">
        <v>473</v>
      </c>
      <c r="B212" s="5" t="s">
        <v>45</v>
      </c>
      <c r="C212" s="5" t="s">
        <v>46</v>
      </c>
      <c r="D212" s="85">
        <v>10.84</v>
      </c>
    </row>
    <row r="213" spans="1:6" x14ac:dyDescent="0.35">
      <c r="A213" s="3" t="s">
        <v>473</v>
      </c>
      <c r="B213" s="5" t="s">
        <v>47</v>
      </c>
      <c r="C213" s="5" t="s">
        <v>48</v>
      </c>
      <c r="D213" s="85">
        <v>22.83</v>
      </c>
    </row>
    <row r="214" spans="1:6" x14ac:dyDescent="0.35">
      <c r="A214" s="3" t="s">
        <v>473</v>
      </c>
      <c r="B214" s="5" t="s">
        <v>146</v>
      </c>
      <c r="C214" s="5" t="s">
        <v>149</v>
      </c>
      <c r="D214" s="85">
        <v>42.03</v>
      </c>
    </row>
    <row r="215" spans="1:6" x14ac:dyDescent="0.3">
      <c r="A215" s="3" t="s">
        <v>473</v>
      </c>
      <c r="B215" s="66" t="s">
        <v>147</v>
      </c>
      <c r="C215" s="66" t="s">
        <v>736</v>
      </c>
      <c r="D215" s="80">
        <v>20</v>
      </c>
    </row>
    <row r="216" spans="1:6" x14ac:dyDescent="0.35">
      <c r="A216" s="3" t="s">
        <v>473</v>
      </c>
      <c r="B216" s="66" t="s">
        <v>53</v>
      </c>
      <c r="C216" s="66" t="s">
        <v>56</v>
      </c>
      <c r="D216" s="82">
        <v>65.58</v>
      </c>
    </row>
    <row r="217" spans="1:6" x14ac:dyDescent="0.35">
      <c r="A217" s="3" t="s">
        <v>473</v>
      </c>
      <c r="B217" s="66" t="s">
        <v>589</v>
      </c>
      <c r="C217" s="66" t="s">
        <v>596</v>
      </c>
      <c r="D217" s="82">
        <v>59.21</v>
      </c>
    </row>
    <row r="218" spans="1:6" x14ac:dyDescent="0.35">
      <c r="A218" s="3" t="s">
        <v>473</v>
      </c>
      <c r="B218" s="66" t="s">
        <v>584</v>
      </c>
      <c r="C218" s="66" t="s">
        <v>585</v>
      </c>
      <c r="D218" s="82">
        <v>72.290000000000006</v>
      </c>
    </row>
    <row r="219" spans="1:6" s="16" customFormat="1" x14ac:dyDescent="0.35">
      <c r="A219" s="3" t="s">
        <v>473</v>
      </c>
      <c r="B219" s="66" t="s">
        <v>586</v>
      </c>
      <c r="C219" s="66" t="s">
        <v>587</v>
      </c>
      <c r="D219" s="82">
        <v>86.01</v>
      </c>
    </row>
    <row r="220" spans="1:6" s="16" customFormat="1" x14ac:dyDescent="0.35">
      <c r="A220" s="3" t="s">
        <v>473</v>
      </c>
      <c r="B220" s="66" t="s">
        <v>588</v>
      </c>
      <c r="C220" s="66" t="s">
        <v>417</v>
      </c>
      <c r="D220" s="82">
        <v>155</v>
      </c>
    </row>
    <row r="221" spans="1:6" s="16" customFormat="1" x14ac:dyDescent="0.35">
      <c r="A221" s="3" t="s">
        <v>473</v>
      </c>
      <c r="B221" s="66" t="s">
        <v>54</v>
      </c>
      <c r="C221" s="66" t="s">
        <v>57</v>
      </c>
      <c r="D221" s="82">
        <v>77.55</v>
      </c>
    </row>
    <row r="222" spans="1:6" s="16" customFormat="1" x14ac:dyDescent="0.35">
      <c r="A222" s="3" t="s">
        <v>473</v>
      </c>
      <c r="B222" s="66" t="s">
        <v>58</v>
      </c>
      <c r="C222" s="66" t="s">
        <v>59</v>
      </c>
      <c r="D222" s="82">
        <v>54.45</v>
      </c>
      <c r="E222" s="14"/>
      <c r="F222" s="14"/>
    </row>
    <row r="223" spans="1:6" s="16" customFormat="1" x14ac:dyDescent="0.35">
      <c r="A223" s="3" t="s">
        <v>473</v>
      </c>
      <c r="B223" s="66" t="s">
        <v>553</v>
      </c>
      <c r="C223" s="66" t="s">
        <v>193</v>
      </c>
      <c r="D223" s="82">
        <v>54.45</v>
      </c>
      <c r="E223" s="14"/>
      <c r="F223" s="14"/>
    </row>
    <row r="224" spans="1:6" s="16" customFormat="1" x14ac:dyDescent="0.35">
      <c r="A224" s="3" t="s">
        <v>286</v>
      </c>
      <c r="B224" s="66" t="s">
        <v>479</v>
      </c>
      <c r="C224" s="66" t="s">
        <v>480</v>
      </c>
      <c r="D224" s="82">
        <v>132.32999999999998</v>
      </c>
      <c r="E224" s="14"/>
      <c r="F224" s="14"/>
    </row>
    <row r="225" spans="1:4" s="16" customFormat="1" x14ac:dyDescent="0.35">
      <c r="A225" s="3" t="s">
        <v>357</v>
      </c>
      <c r="B225" s="66" t="s">
        <v>484</v>
      </c>
      <c r="C225" s="66" t="s">
        <v>485</v>
      </c>
      <c r="D225" s="82">
        <v>153.44999999999999</v>
      </c>
    </row>
    <row r="226" spans="1:4" s="16" customFormat="1" x14ac:dyDescent="0.35">
      <c r="A226" s="3" t="s">
        <v>380</v>
      </c>
      <c r="B226" s="66" t="s">
        <v>488</v>
      </c>
      <c r="C226" s="66" t="s">
        <v>489</v>
      </c>
      <c r="D226" s="82">
        <v>214.49999999999997</v>
      </c>
    </row>
    <row r="227" spans="1:4" s="16" customFormat="1" x14ac:dyDescent="0.35">
      <c r="A227" s="3" t="s">
        <v>427</v>
      </c>
      <c r="B227" s="66" t="s">
        <v>490</v>
      </c>
      <c r="C227" s="66" t="s">
        <v>491</v>
      </c>
      <c r="D227" s="82">
        <v>247.16999999999996</v>
      </c>
    </row>
    <row r="228" spans="1:4" s="16" customFormat="1" x14ac:dyDescent="0.35">
      <c r="A228" s="3" t="s">
        <v>357</v>
      </c>
      <c r="B228" s="66" t="s">
        <v>486</v>
      </c>
      <c r="C228" s="66" t="s">
        <v>487</v>
      </c>
      <c r="D228" s="82">
        <v>113.85</v>
      </c>
    </row>
    <row r="229" spans="1:4" s="16" customFormat="1" x14ac:dyDescent="0.2">
      <c r="A229" s="3" t="s">
        <v>0</v>
      </c>
      <c r="B229" s="5" t="s">
        <v>55</v>
      </c>
      <c r="C229" s="5" t="s">
        <v>60</v>
      </c>
      <c r="D229" s="86"/>
    </row>
    <row r="230" spans="1:4" s="16" customFormat="1" x14ac:dyDescent="0.2">
      <c r="A230" s="3" t="s">
        <v>150</v>
      </c>
      <c r="B230" s="5" t="s">
        <v>177</v>
      </c>
      <c r="C230" s="5" t="s">
        <v>178</v>
      </c>
      <c r="D230" s="86"/>
    </row>
    <row r="231" spans="1:4" s="16" customFormat="1" ht="13.8" customHeight="1" x14ac:dyDescent="0.2">
      <c r="A231" s="3" t="s">
        <v>179</v>
      </c>
      <c r="B231" s="5" t="s">
        <v>194</v>
      </c>
      <c r="C231" s="5" t="s">
        <v>195</v>
      </c>
      <c r="D231" s="86"/>
    </row>
    <row r="232" spans="1:4" s="16" customFormat="1" x14ac:dyDescent="0.35">
      <c r="A232" s="96" t="s">
        <v>286</v>
      </c>
      <c r="B232" s="66" t="s">
        <v>53</v>
      </c>
      <c r="C232" s="66" t="s">
        <v>56</v>
      </c>
      <c r="D232" s="82">
        <v>65.58</v>
      </c>
    </row>
    <row r="233" spans="1:4" s="16" customFormat="1" x14ac:dyDescent="0.35">
      <c r="A233" s="96"/>
      <c r="B233" s="66" t="s">
        <v>54</v>
      </c>
      <c r="C233" s="66" t="s">
        <v>57</v>
      </c>
      <c r="D233" s="82">
        <v>77.55</v>
      </c>
    </row>
    <row r="234" spans="1:4" s="16" customFormat="1" x14ac:dyDescent="0.35">
      <c r="A234" s="96"/>
      <c r="B234" s="66" t="s">
        <v>219</v>
      </c>
      <c r="C234" s="66" t="s">
        <v>220</v>
      </c>
      <c r="D234" s="82">
        <v>85.4</v>
      </c>
    </row>
    <row r="235" spans="1:4" s="16" customFormat="1" x14ac:dyDescent="0.35">
      <c r="A235" s="96"/>
      <c r="B235" s="66" t="s">
        <v>217</v>
      </c>
      <c r="C235" s="66" t="s">
        <v>218</v>
      </c>
      <c r="D235" s="82">
        <v>60.72</v>
      </c>
    </row>
    <row r="236" spans="1:4" s="16" customFormat="1" x14ac:dyDescent="0.35">
      <c r="A236" s="96" t="s">
        <v>357</v>
      </c>
      <c r="B236" s="66" t="s">
        <v>299</v>
      </c>
      <c r="C236" s="66" t="s">
        <v>300</v>
      </c>
      <c r="D236" s="82">
        <v>96.69</v>
      </c>
    </row>
    <row r="237" spans="1:4" s="16" customFormat="1" x14ac:dyDescent="0.35">
      <c r="A237" s="96"/>
      <c r="B237" s="66" t="s">
        <v>53</v>
      </c>
      <c r="C237" s="66" t="s">
        <v>56</v>
      </c>
      <c r="D237" s="82">
        <v>65.58</v>
      </c>
    </row>
    <row r="238" spans="1:4" s="16" customFormat="1" x14ac:dyDescent="0.35">
      <c r="A238" s="96"/>
      <c r="B238" s="66" t="s">
        <v>54</v>
      </c>
      <c r="C238" s="66" t="s">
        <v>57</v>
      </c>
      <c r="D238" s="82">
        <v>77.55</v>
      </c>
    </row>
    <row r="239" spans="1:4" s="16" customFormat="1" x14ac:dyDescent="0.35">
      <c r="A239" s="96"/>
      <c r="B239" s="66" t="s">
        <v>219</v>
      </c>
      <c r="C239" s="66" t="s">
        <v>220</v>
      </c>
      <c r="D239" s="82">
        <v>85.4</v>
      </c>
    </row>
    <row r="240" spans="1:4" x14ac:dyDescent="0.35">
      <c r="A240" s="96"/>
      <c r="B240" s="66" t="s">
        <v>301</v>
      </c>
      <c r="C240" s="66" t="s">
        <v>302</v>
      </c>
      <c r="D240" s="82">
        <v>75.899999999999991</v>
      </c>
    </row>
    <row r="241" spans="1:4" s="16" customFormat="1" x14ac:dyDescent="0.35">
      <c r="A241" s="96" t="s">
        <v>380</v>
      </c>
      <c r="B241" s="66" t="s">
        <v>219</v>
      </c>
      <c r="C241" s="66" t="s">
        <v>220</v>
      </c>
      <c r="D241" s="82">
        <v>85.4</v>
      </c>
    </row>
    <row r="242" spans="1:4" s="16" customFormat="1" x14ac:dyDescent="0.35">
      <c r="A242" s="96"/>
      <c r="B242" s="66" t="s">
        <v>53</v>
      </c>
      <c r="C242" s="66" t="s">
        <v>56</v>
      </c>
      <c r="D242" s="82">
        <v>65.58</v>
      </c>
    </row>
    <row r="243" spans="1:4" s="16" customFormat="1" x14ac:dyDescent="0.35">
      <c r="A243" s="96"/>
      <c r="B243" s="66" t="s">
        <v>299</v>
      </c>
      <c r="C243" s="66" t="s">
        <v>300</v>
      </c>
      <c r="D243" s="82">
        <v>96.69</v>
      </c>
    </row>
    <row r="244" spans="1:4" s="16" customFormat="1" x14ac:dyDescent="0.35">
      <c r="A244" s="96"/>
      <c r="B244" s="66" t="s">
        <v>54</v>
      </c>
      <c r="C244" s="66" t="s">
        <v>57</v>
      </c>
      <c r="D244" s="82">
        <v>77.55</v>
      </c>
    </row>
    <row r="245" spans="1:4" s="16" customFormat="1" x14ac:dyDescent="0.35">
      <c r="A245" s="96"/>
      <c r="B245" s="66" t="s">
        <v>301</v>
      </c>
      <c r="C245" s="66" t="s">
        <v>302</v>
      </c>
      <c r="D245" s="82">
        <v>75.899999999999991</v>
      </c>
    </row>
    <row r="246" spans="1:4" s="16" customFormat="1" x14ac:dyDescent="0.35">
      <c r="A246" s="96" t="s">
        <v>404</v>
      </c>
      <c r="B246" s="66" t="s">
        <v>219</v>
      </c>
      <c r="C246" s="66" t="s">
        <v>220</v>
      </c>
      <c r="D246" s="82">
        <v>85.4</v>
      </c>
    </row>
    <row r="247" spans="1:4" s="16" customFormat="1" x14ac:dyDescent="0.35">
      <c r="A247" s="96"/>
      <c r="B247" s="66" t="s">
        <v>53</v>
      </c>
      <c r="C247" s="66" t="s">
        <v>56</v>
      </c>
      <c r="D247" s="82">
        <v>65.58</v>
      </c>
    </row>
    <row r="248" spans="1:4" s="16" customFormat="1" x14ac:dyDescent="0.35">
      <c r="A248" s="96"/>
      <c r="B248" s="66" t="s">
        <v>299</v>
      </c>
      <c r="C248" s="66" t="s">
        <v>300</v>
      </c>
      <c r="D248" s="82">
        <v>96.69</v>
      </c>
    </row>
    <row r="249" spans="1:4" s="16" customFormat="1" x14ac:dyDescent="0.35">
      <c r="A249" s="96"/>
      <c r="B249" s="66" t="s">
        <v>54</v>
      </c>
      <c r="C249" s="66" t="s">
        <v>57</v>
      </c>
      <c r="D249" s="82">
        <v>77.55</v>
      </c>
    </row>
    <row r="250" spans="1:4" s="16" customFormat="1" x14ac:dyDescent="0.35">
      <c r="A250" s="96"/>
      <c r="B250" s="66" t="s">
        <v>392</v>
      </c>
      <c r="C250" s="66" t="s">
        <v>302</v>
      </c>
      <c r="D250" s="82">
        <v>75.899999999999991</v>
      </c>
    </row>
    <row r="251" spans="1:4" s="16" customFormat="1" x14ac:dyDescent="0.35">
      <c r="A251" s="96" t="s">
        <v>405</v>
      </c>
      <c r="B251" s="66" t="s">
        <v>299</v>
      </c>
      <c r="C251" s="66" t="s">
        <v>300</v>
      </c>
      <c r="D251" s="82">
        <v>96.69</v>
      </c>
    </row>
    <row r="252" spans="1:4" s="16" customFormat="1" x14ac:dyDescent="0.35">
      <c r="A252" s="96"/>
      <c r="B252" s="66" t="s">
        <v>219</v>
      </c>
      <c r="C252" s="66" t="s">
        <v>220</v>
      </c>
      <c r="D252" s="82">
        <v>85.4</v>
      </c>
    </row>
    <row r="253" spans="1:4" s="16" customFormat="1" x14ac:dyDescent="0.35">
      <c r="A253" s="96"/>
      <c r="B253" s="66" t="s">
        <v>53</v>
      </c>
      <c r="C253" s="66" t="s">
        <v>56</v>
      </c>
      <c r="D253" s="82">
        <v>65.58</v>
      </c>
    </row>
    <row r="254" spans="1:4" s="16" customFormat="1" x14ac:dyDescent="0.35">
      <c r="A254" s="96"/>
      <c r="B254" s="66" t="s">
        <v>416</v>
      </c>
      <c r="C254" s="66" t="s">
        <v>417</v>
      </c>
      <c r="D254" s="82">
        <v>160.58000000000001</v>
      </c>
    </row>
    <row r="255" spans="1:4" s="16" customFormat="1" x14ac:dyDescent="0.35">
      <c r="A255" s="96"/>
      <c r="B255" s="66" t="s">
        <v>54</v>
      </c>
      <c r="C255" s="66" t="s">
        <v>57</v>
      </c>
      <c r="D255" s="82">
        <v>77.55</v>
      </c>
    </row>
    <row r="256" spans="1:4" s="16" customFormat="1" x14ac:dyDescent="0.35">
      <c r="A256" s="96"/>
      <c r="B256" s="66" t="s">
        <v>418</v>
      </c>
      <c r="C256" s="66" t="s">
        <v>419</v>
      </c>
      <c r="D256" s="82">
        <v>75.900000000000006</v>
      </c>
    </row>
    <row r="257" spans="1:4" s="16" customFormat="1" x14ac:dyDescent="0.35">
      <c r="A257" s="96" t="s">
        <v>427</v>
      </c>
      <c r="B257" s="66" t="s">
        <v>299</v>
      </c>
      <c r="C257" s="66" t="s">
        <v>300</v>
      </c>
      <c r="D257" s="82">
        <v>96.69</v>
      </c>
    </row>
    <row r="258" spans="1:4" s="16" customFormat="1" x14ac:dyDescent="0.35">
      <c r="A258" s="96"/>
      <c r="B258" s="66" t="s">
        <v>219</v>
      </c>
      <c r="C258" s="66" t="s">
        <v>220</v>
      </c>
      <c r="D258" s="82">
        <v>85.4</v>
      </c>
    </row>
    <row r="259" spans="1:4" s="16" customFormat="1" x14ac:dyDescent="0.35">
      <c r="A259" s="96"/>
      <c r="B259" s="66" t="s">
        <v>53</v>
      </c>
      <c r="C259" s="66" t="s">
        <v>56</v>
      </c>
      <c r="D259" s="82">
        <v>65.58</v>
      </c>
    </row>
    <row r="260" spans="1:4" s="16" customFormat="1" x14ac:dyDescent="0.35">
      <c r="A260" s="96"/>
      <c r="B260" s="66" t="s">
        <v>416</v>
      </c>
      <c r="C260" s="66" t="s">
        <v>417</v>
      </c>
      <c r="D260" s="82">
        <v>160.58000000000001</v>
      </c>
    </row>
    <row r="261" spans="1:4" s="16" customFormat="1" x14ac:dyDescent="0.35">
      <c r="A261" s="96"/>
      <c r="B261" s="66" t="s">
        <v>434</v>
      </c>
      <c r="C261" s="66" t="s">
        <v>435</v>
      </c>
      <c r="D261" s="82">
        <v>104.28</v>
      </c>
    </row>
    <row r="262" spans="1:4" s="16" customFormat="1" x14ac:dyDescent="0.35">
      <c r="A262" s="96"/>
      <c r="B262" s="66" t="s">
        <v>436</v>
      </c>
      <c r="C262" s="66" t="s">
        <v>437</v>
      </c>
      <c r="D262" s="82">
        <v>107.57999999999998</v>
      </c>
    </row>
    <row r="263" spans="1:4" s="16" customFormat="1" x14ac:dyDescent="0.35">
      <c r="A263" s="3"/>
      <c r="B263" s="66" t="s">
        <v>145</v>
      </c>
      <c r="C263" s="66" t="s">
        <v>148</v>
      </c>
      <c r="D263" s="82">
        <v>9.0299999999999994</v>
      </c>
    </row>
    <row r="264" spans="1:4" s="16" customFormat="1" x14ac:dyDescent="0.35">
      <c r="A264" s="3"/>
      <c r="B264" s="66" t="s">
        <v>554</v>
      </c>
      <c r="C264" s="66" t="s">
        <v>285</v>
      </c>
      <c r="D264" s="82">
        <v>15.72</v>
      </c>
    </row>
    <row r="265" spans="1:4" s="16" customFormat="1" x14ac:dyDescent="0.2">
      <c r="A265" s="3"/>
      <c r="B265" s="66" t="s">
        <v>582</v>
      </c>
      <c r="C265" s="66" t="s">
        <v>583</v>
      </c>
      <c r="D265" s="80">
        <v>4.6500000000000004</v>
      </c>
    </row>
    <row r="266" spans="1:4" s="16" customFormat="1" x14ac:dyDescent="0.2">
      <c r="A266" s="3"/>
      <c r="B266" s="66" t="s">
        <v>445</v>
      </c>
      <c r="C266" s="66" t="s">
        <v>354</v>
      </c>
      <c r="D266" s="80">
        <v>20.8</v>
      </c>
    </row>
    <row r="267" spans="1:4" s="16" customFormat="1" x14ac:dyDescent="0.2">
      <c r="A267" s="3"/>
      <c r="B267" s="66" t="s">
        <v>446</v>
      </c>
      <c r="C267" s="66" t="s">
        <v>399</v>
      </c>
      <c r="D267" s="80">
        <v>26.5</v>
      </c>
    </row>
    <row r="268" spans="1:4" s="16" customFormat="1" x14ac:dyDescent="0.2">
      <c r="A268" s="3"/>
      <c r="B268" s="66" t="s">
        <v>420</v>
      </c>
      <c r="C268" s="66" t="s">
        <v>421</v>
      </c>
      <c r="D268" s="80">
        <v>31.85</v>
      </c>
    </row>
    <row r="269" spans="1:4" s="16" customFormat="1" x14ac:dyDescent="0.2">
      <c r="A269" s="3"/>
      <c r="B269" s="66" t="s">
        <v>197</v>
      </c>
      <c r="C269" s="66" t="s">
        <v>200</v>
      </c>
      <c r="D269" s="80">
        <v>0.8</v>
      </c>
    </row>
    <row r="270" spans="1:4" s="16" customFormat="1" x14ac:dyDescent="0.2">
      <c r="A270" s="3"/>
      <c r="B270" s="66" t="s">
        <v>447</v>
      </c>
      <c r="C270" s="66" t="s">
        <v>448</v>
      </c>
      <c r="D270" s="80">
        <v>35</v>
      </c>
    </row>
    <row r="271" spans="1:4" s="16" customFormat="1" x14ac:dyDescent="0.2">
      <c r="A271" s="3"/>
      <c r="B271" s="66" t="s">
        <v>449</v>
      </c>
      <c r="C271" s="66" t="s">
        <v>450</v>
      </c>
      <c r="D271" s="80">
        <v>30</v>
      </c>
    </row>
    <row r="272" spans="1:4" s="16" customFormat="1" x14ac:dyDescent="0.2">
      <c r="A272" s="3"/>
      <c r="B272" s="66" t="s">
        <v>451</v>
      </c>
      <c r="C272" s="66" t="s">
        <v>452</v>
      </c>
      <c r="D272" s="80">
        <v>61</v>
      </c>
    </row>
    <row r="273" spans="1:4" s="16" customFormat="1" x14ac:dyDescent="0.2">
      <c r="A273" s="3"/>
      <c r="B273" s="66" t="s">
        <v>453</v>
      </c>
      <c r="C273" s="66" t="s">
        <v>454</v>
      </c>
      <c r="D273" s="80">
        <v>48</v>
      </c>
    </row>
    <row r="274" spans="1:4" s="16" customFormat="1" x14ac:dyDescent="0.2">
      <c r="A274" s="3"/>
      <c r="B274" s="66" t="s">
        <v>455</v>
      </c>
      <c r="C274" s="66" t="s">
        <v>456</v>
      </c>
      <c r="D274" s="80">
        <v>25</v>
      </c>
    </row>
    <row r="275" spans="1:4" s="16" customFormat="1" x14ac:dyDescent="0.2">
      <c r="A275" s="3"/>
      <c r="B275" s="66" t="s">
        <v>457</v>
      </c>
      <c r="C275" s="66" t="s">
        <v>458</v>
      </c>
      <c r="D275" s="80">
        <v>12</v>
      </c>
    </row>
    <row r="276" spans="1:4" s="16" customFormat="1" x14ac:dyDescent="0.2">
      <c r="A276" s="3"/>
      <c r="B276" s="66" t="s">
        <v>440</v>
      </c>
      <c r="C276" s="66" t="s">
        <v>74</v>
      </c>
      <c r="D276" s="80">
        <v>16.149999999999999</v>
      </c>
    </row>
    <row r="277" spans="1:4" s="16" customFormat="1" x14ac:dyDescent="0.2">
      <c r="A277" s="3"/>
      <c r="B277" s="66" t="s">
        <v>441</v>
      </c>
      <c r="C277" s="66" t="s">
        <v>354</v>
      </c>
      <c r="D277" s="80">
        <v>20.8</v>
      </c>
    </row>
    <row r="278" spans="1:4" x14ac:dyDescent="0.3">
      <c r="B278" s="66" t="s">
        <v>442</v>
      </c>
      <c r="C278" s="66" t="s">
        <v>399</v>
      </c>
      <c r="D278" s="80">
        <v>26.5</v>
      </c>
    </row>
    <row r="279" spans="1:4" x14ac:dyDescent="0.3">
      <c r="B279" s="66" t="s">
        <v>400</v>
      </c>
      <c r="C279" s="66" t="s">
        <v>200</v>
      </c>
      <c r="D279" s="80">
        <v>0.8</v>
      </c>
    </row>
    <row r="280" spans="1:4" x14ac:dyDescent="0.3">
      <c r="B280" s="66" t="s">
        <v>401</v>
      </c>
      <c r="C280" s="66" t="s">
        <v>282</v>
      </c>
      <c r="D280" s="80">
        <v>0.95</v>
      </c>
    </row>
    <row r="281" spans="1:4" x14ac:dyDescent="0.3">
      <c r="B281" s="66" t="s">
        <v>443</v>
      </c>
      <c r="C281" s="66" t="s">
        <v>444</v>
      </c>
      <c r="D281" s="80">
        <v>3.55</v>
      </c>
    </row>
    <row r="282" spans="1:4" x14ac:dyDescent="0.3">
      <c r="B282" s="66" t="s">
        <v>398</v>
      </c>
      <c r="C282" s="66" t="s">
        <v>399</v>
      </c>
      <c r="D282" s="80">
        <v>26.5</v>
      </c>
    </row>
    <row r="283" spans="1:4" x14ac:dyDescent="0.3">
      <c r="B283" s="66" t="s">
        <v>400</v>
      </c>
      <c r="C283" s="66" t="s">
        <v>200</v>
      </c>
      <c r="D283" s="80">
        <v>0.8</v>
      </c>
    </row>
    <row r="284" spans="1:4" x14ac:dyDescent="0.3">
      <c r="B284" s="66" t="s">
        <v>353</v>
      </c>
      <c r="C284" s="66" t="s">
        <v>354</v>
      </c>
      <c r="D284" s="80">
        <v>20.8</v>
      </c>
    </row>
    <row r="285" spans="1:4" x14ac:dyDescent="0.3">
      <c r="B285" s="66" t="s">
        <v>158</v>
      </c>
      <c r="C285" s="66" t="s">
        <v>82</v>
      </c>
      <c r="D285" s="80">
        <v>6.35</v>
      </c>
    </row>
    <row r="286" spans="1:4" x14ac:dyDescent="0.3">
      <c r="B286" s="66" t="s">
        <v>71</v>
      </c>
      <c r="C286" s="66" t="s">
        <v>83</v>
      </c>
      <c r="D286" s="80">
        <v>2.5</v>
      </c>
    </row>
    <row r="287" spans="1:4" x14ac:dyDescent="0.3">
      <c r="B287" s="66" t="s">
        <v>159</v>
      </c>
      <c r="C287" s="66" t="s">
        <v>84</v>
      </c>
      <c r="D287" s="80">
        <v>7.85</v>
      </c>
    </row>
    <row r="288" spans="1:4" x14ac:dyDescent="0.3">
      <c r="B288" s="66" t="s">
        <v>160</v>
      </c>
      <c r="C288" s="66" t="s">
        <v>73</v>
      </c>
      <c r="D288" s="80">
        <v>9.65</v>
      </c>
    </row>
    <row r="289" spans="2:4" x14ac:dyDescent="0.3">
      <c r="B289" s="66" t="s">
        <v>161</v>
      </c>
      <c r="C289" s="66" t="s">
        <v>74</v>
      </c>
      <c r="D289" s="80">
        <v>16.149999999999999</v>
      </c>
    </row>
    <row r="290" spans="2:4" x14ac:dyDescent="0.3">
      <c r="B290" s="66" t="s">
        <v>162</v>
      </c>
      <c r="C290" s="66" t="s">
        <v>165</v>
      </c>
      <c r="D290" s="80">
        <v>0.8</v>
      </c>
    </row>
    <row r="291" spans="2:4" x14ac:dyDescent="0.3">
      <c r="B291" s="66" t="s">
        <v>163</v>
      </c>
      <c r="C291" s="66" t="s">
        <v>166</v>
      </c>
      <c r="D291" s="80">
        <v>0.3</v>
      </c>
    </row>
    <row r="292" spans="2:4" x14ac:dyDescent="0.3">
      <c r="B292" s="66" t="s">
        <v>164</v>
      </c>
      <c r="C292" s="66" t="s">
        <v>167</v>
      </c>
      <c r="D292" s="80">
        <v>0.45</v>
      </c>
    </row>
    <row r="293" spans="2:4" x14ac:dyDescent="0.3">
      <c r="B293" s="66" t="s">
        <v>62</v>
      </c>
      <c r="C293" s="66" t="s">
        <v>73</v>
      </c>
      <c r="D293" s="80">
        <v>9.65</v>
      </c>
    </row>
    <row r="294" spans="2:4" x14ac:dyDescent="0.3">
      <c r="B294" s="66" t="s">
        <v>63</v>
      </c>
      <c r="C294" s="66" t="s">
        <v>74</v>
      </c>
      <c r="D294" s="80">
        <v>16.149999999999999</v>
      </c>
    </row>
    <row r="295" spans="2:4" x14ac:dyDescent="0.3">
      <c r="B295" s="66" t="s">
        <v>64</v>
      </c>
      <c r="C295" s="66" t="s">
        <v>76</v>
      </c>
      <c r="D295" s="80">
        <v>0.4</v>
      </c>
    </row>
    <row r="296" spans="2:4" x14ac:dyDescent="0.3">
      <c r="B296" s="66" t="s">
        <v>67</v>
      </c>
      <c r="C296" s="66" t="s">
        <v>79</v>
      </c>
      <c r="D296" s="80">
        <v>0.3</v>
      </c>
    </row>
    <row r="297" spans="2:4" x14ac:dyDescent="0.3">
      <c r="B297" s="66" t="s">
        <v>70</v>
      </c>
      <c r="C297" s="66" t="s">
        <v>82</v>
      </c>
      <c r="D297" s="80">
        <v>6.35</v>
      </c>
    </row>
    <row r="298" spans="2:4" x14ac:dyDescent="0.3">
      <c r="B298" s="66" t="s">
        <v>71</v>
      </c>
      <c r="C298" s="66" t="s">
        <v>83</v>
      </c>
      <c r="D298" s="80">
        <v>2.5</v>
      </c>
    </row>
    <row r="299" spans="2:4" x14ac:dyDescent="0.3">
      <c r="B299" s="66" t="s">
        <v>72</v>
      </c>
      <c r="C299" s="66" t="s">
        <v>84</v>
      </c>
      <c r="D299" s="80">
        <v>7.85</v>
      </c>
    </row>
    <row r="300" spans="2:4" x14ac:dyDescent="0.3">
      <c r="B300" s="66" t="s">
        <v>87</v>
      </c>
      <c r="C300" s="66" t="s">
        <v>88</v>
      </c>
      <c r="D300" s="80">
        <v>1615.6</v>
      </c>
    </row>
    <row r="301" spans="2:4" x14ac:dyDescent="0.3">
      <c r="B301" s="66" t="s">
        <v>69</v>
      </c>
      <c r="C301" s="66" t="s">
        <v>81</v>
      </c>
      <c r="D301" s="80">
        <v>22</v>
      </c>
    </row>
    <row r="302" spans="2:4" x14ac:dyDescent="0.3">
      <c r="B302" s="66" t="s">
        <v>89</v>
      </c>
      <c r="C302" s="66" t="s">
        <v>75</v>
      </c>
      <c r="D302" s="80">
        <v>25</v>
      </c>
    </row>
    <row r="303" spans="2:4" x14ac:dyDescent="0.3">
      <c r="B303" s="66" t="s">
        <v>66</v>
      </c>
      <c r="C303" s="66" t="s">
        <v>78</v>
      </c>
      <c r="D303" s="80">
        <v>30</v>
      </c>
    </row>
    <row r="304" spans="2:4" x14ac:dyDescent="0.3">
      <c r="B304" s="66" t="s">
        <v>65</v>
      </c>
      <c r="C304" s="66" t="s">
        <v>77</v>
      </c>
      <c r="D304" s="80">
        <v>140</v>
      </c>
    </row>
    <row r="305" spans="2:4" x14ac:dyDescent="0.3">
      <c r="B305" s="66" t="s">
        <v>71</v>
      </c>
      <c r="C305" s="66" t="s">
        <v>83</v>
      </c>
      <c r="D305" s="80">
        <v>2.5</v>
      </c>
    </row>
    <row r="306" spans="2:4" x14ac:dyDescent="0.3">
      <c r="B306" s="66" t="s">
        <v>72</v>
      </c>
      <c r="C306" s="66" t="s">
        <v>84</v>
      </c>
      <c r="D306" s="80">
        <v>7.85</v>
      </c>
    </row>
    <row r="307" spans="2:4" x14ac:dyDescent="0.3">
      <c r="B307" s="66" t="s">
        <v>62</v>
      </c>
      <c r="C307" s="66" t="s">
        <v>73</v>
      </c>
      <c r="D307" s="80">
        <v>9.65</v>
      </c>
    </row>
    <row r="308" spans="2:4" x14ac:dyDescent="0.3">
      <c r="B308" s="66" t="s">
        <v>63</v>
      </c>
      <c r="C308" s="66" t="s">
        <v>74</v>
      </c>
      <c r="D308" s="80">
        <v>16.149999999999999</v>
      </c>
    </row>
    <row r="309" spans="2:4" x14ac:dyDescent="0.3">
      <c r="B309" s="66" t="s">
        <v>197</v>
      </c>
      <c r="C309" s="66" t="s">
        <v>200</v>
      </c>
      <c r="D309" s="80">
        <v>0.8</v>
      </c>
    </row>
    <row r="310" spans="2:4" x14ac:dyDescent="0.3">
      <c r="B310" s="66" t="s">
        <v>198</v>
      </c>
      <c r="C310" s="66" t="s">
        <v>201</v>
      </c>
      <c r="D310" s="80">
        <v>0.6</v>
      </c>
    </row>
    <row r="311" spans="2:4" x14ac:dyDescent="0.3">
      <c r="B311" s="66" t="s">
        <v>199</v>
      </c>
      <c r="C311" s="66" t="s">
        <v>202</v>
      </c>
      <c r="D311" s="80">
        <v>0.5</v>
      </c>
    </row>
    <row r="312" spans="2:4" x14ac:dyDescent="0.3">
      <c r="B312" s="66" t="s">
        <v>164</v>
      </c>
      <c r="C312" s="66" t="s">
        <v>167</v>
      </c>
      <c r="D312" s="80">
        <v>0.45</v>
      </c>
    </row>
    <row r="313" spans="2:4" x14ac:dyDescent="0.3">
      <c r="B313" s="66" t="s">
        <v>276</v>
      </c>
      <c r="C313" s="66" t="s">
        <v>84</v>
      </c>
      <c r="D313" s="80">
        <v>7.85</v>
      </c>
    </row>
    <row r="314" spans="2:4" x14ac:dyDescent="0.3">
      <c r="B314" s="66" t="s">
        <v>277</v>
      </c>
      <c r="C314" s="66" t="s">
        <v>73</v>
      </c>
      <c r="D314" s="80">
        <v>9.65</v>
      </c>
    </row>
    <row r="315" spans="2:4" x14ac:dyDescent="0.3">
      <c r="B315" s="66" t="s">
        <v>278</v>
      </c>
      <c r="C315" s="66" t="s">
        <v>74</v>
      </c>
      <c r="D315" s="80">
        <v>16.149999999999999</v>
      </c>
    </row>
    <row r="316" spans="2:4" x14ac:dyDescent="0.3">
      <c r="B316" s="66" t="s">
        <v>279</v>
      </c>
      <c r="C316" s="66" t="s">
        <v>280</v>
      </c>
      <c r="D316" s="80">
        <v>0.3</v>
      </c>
    </row>
    <row r="317" spans="2:4" x14ac:dyDescent="0.3">
      <c r="B317" s="66" t="s">
        <v>163</v>
      </c>
      <c r="C317" s="66" t="s">
        <v>166</v>
      </c>
      <c r="D317" s="80">
        <v>0.3</v>
      </c>
    </row>
    <row r="318" spans="2:4" x14ac:dyDescent="0.3">
      <c r="B318" s="66" t="s">
        <v>281</v>
      </c>
      <c r="C318" s="66" t="s">
        <v>282</v>
      </c>
      <c r="D318" s="80">
        <v>0.86</v>
      </c>
    </row>
    <row r="319" spans="2:4" x14ac:dyDescent="0.3">
      <c r="B319" s="66" t="s">
        <v>283</v>
      </c>
      <c r="C319" s="66" t="s">
        <v>284</v>
      </c>
      <c r="D319" s="80">
        <v>0.6</v>
      </c>
    </row>
    <row r="320" spans="2:4" x14ac:dyDescent="0.3">
      <c r="B320" s="66" t="s">
        <v>376</v>
      </c>
      <c r="C320" s="66" t="s">
        <v>377</v>
      </c>
      <c r="D320" s="80">
        <v>0.6</v>
      </c>
    </row>
    <row r="321" spans="2:5" x14ac:dyDescent="0.3">
      <c r="B321" s="66" t="s">
        <v>378</v>
      </c>
      <c r="C321" s="66" t="s">
        <v>379</v>
      </c>
      <c r="D321" s="80">
        <v>1.65</v>
      </c>
    </row>
    <row r="322" spans="2:5" x14ac:dyDescent="0.35">
      <c r="B322" s="66" t="s">
        <v>558</v>
      </c>
      <c r="C322" s="66" t="s">
        <v>742</v>
      </c>
      <c r="D322" s="82">
        <v>0.95</v>
      </c>
    </row>
    <row r="323" spans="2:5" x14ac:dyDescent="0.35">
      <c r="B323" s="66" t="s">
        <v>557</v>
      </c>
      <c r="C323" s="66" t="s">
        <v>555</v>
      </c>
      <c r="D323" s="82">
        <v>1.32</v>
      </c>
    </row>
    <row r="324" spans="2:5" x14ac:dyDescent="0.35">
      <c r="B324" s="66" t="s">
        <v>556</v>
      </c>
      <c r="C324" s="66" t="s">
        <v>743</v>
      </c>
      <c r="D324" s="82">
        <v>0.73</v>
      </c>
    </row>
    <row r="325" spans="2:5" x14ac:dyDescent="0.3">
      <c r="B325" s="66" t="s">
        <v>438</v>
      </c>
      <c r="C325" s="66" t="s">
        <v>231</v>
      </c>
      <c r="D325" s="80">
        <v>0.85</v>
      </c>
    </row>
    <row r="326" spans="2:5" x14ac:dyDescent="0.3">
      <c r="B326" s="67" t="s">
        <v>439</v>
      </c>
      <c r="C326" s="67" t="s">
        <v>233</v>
      </c>
      <c r="D326" s="83">
        <v>0.79</v>
      </c>
    </row>
    <row r="327" spans="2:5" x14ac:dyDescent="0.3">
      <c r="B327" s="66" t="s">
        <v>422</v>
      </c>
      <c r="C327" s="66" t="s">
        <v>304</v>
      </c>
      <c r="D327" s="80">
        <v>1</v>
      </c>
      <c r="E327" s="3"/>
    </row>
    <row r="328" spans="2:5" x14ac:dyDescent="0.3">
      <c r="B328" s="66" t="s">
        <v>96</v>
      </c>
      <c r="C328" s="66" t="s">
        <v>97</v>
      </c>
      <c r="D328" s="80">
        <v>0.8</v>
      </c>
      <c r="E328" s="3"/>
    </row>
    <row r="329" spans="2:5" x14ac:dyDescent="0.3">
      <c r="B329" s="66" t="s">
        <v>423</v>
      </c>
      <c r="C329" s="66" t="s">
        <v>229</v>
      </c>
      <c r="D329" s="80">
        <v>0.79</v>
      </c>
      <c r="E329" s="3"/>
    </row>
    <row r="330" spans="2:5" x14ac:dyDescent="0.3">
      <c r="B330" s="66" t="s">
        <v>424</v>
      </c>
      <c r="C330" s="66" t="s">
        <v>231</v>
      </c>
      <c r="D330" s="80">
        <v>0.85</v>
      </c>
      <c r="E330" s="3"/>
    </row>
    <row r="331" spans="2:5" x14ac:dyDescent="0.3">
      <c r="B331" s="66" t="s">
        <v>393</v>
      </c>
      <c r="C331" s="66" t="s">
        <v>224</v>
      </c>
      <c r="D331" s="80">
        <v>1.23</v>
      </c>
      <c r="E331" s="3"/>
    </row>
    <row r="332" spans="2:5" x14ac:dyDescent="0.3">
      <c r="B332" s="66" t="s">
        <v>305</v>
      </c>
      <c r="C332" s="66" t="s">
        <v>229</v>
      </c>
      <c r="D332" s="80">
        <v>0.79</v>
      </c>
      <c r="E332" s="3"/>
    </row>
    <row r="333" spans="2:5" x14ac:dyDescent="0.3">
      <c r="B333" s="66" t="s">
        <v>303</v>
      </c>
      <c r="C333" s="66" t="s">
        <v>304</v>
      </c>
      <c r="D333" s="80">
        <v>1</v>
      </c>
      <c r="E333" s="3"/>
    </row>
    <row r="334" spans="2:5" x14ac:dyDescent="0.3">
      <c r="B334" s="66" t="s">
        <v>221</v>
      </c>
      <c r="C334" s="66" t="s">
        <v>222</v>
      </c>
      <c r="D334" s="80">
        <v>1.07</v>
      </c>
      <c r="E334" s="3"/>
    </row>
    <row r="335" spans="2:5" x14ac:dyDescent="0.3">
      <c r="B335" s="66" t="s">
        <v>223</v>
      </c>
      <c r="C335" s="66" t="s">
        <v>224</v>
      </c>
      <c r="D335" s="80">
        <v>1.23</v>
      </c>
      <c r="E335" s="3"/>
    </row>
    <row r="336" spans="2:5" x14ac:dyDescent="0.3">
      <c r="B336" s="5" t="s">
        <v>225</v>
      </c>
      <c r="C336" s="5" t="s">
        <v>226</v>
      </c>
      <c r="D336" s="86"/>
      <c r="E336" s="3"/>
    </row>
    <row r="337" spans="2:5" x14ac:dyDescent="0.3">
      <c r="B337" s="66" t="s">
        <v>227</v>
      </c>
      <c r="C337" s="66" t="s">
        <v>97</v>
      </c>
      <c r="D337" s="80">
        <v>0.8</v>
      </c>
    </row>
    <row r="338" spans="2:5" x14ac:dyDescent="0.3">
      <c r="B338" s="66" t="s">
        <v>228</v>
      </c>
      <c r="C338" s="66" t="s">
        <v>229</v>
      </c>
      <c r="D338" s="80">
        <v>0.79</v>
      </c>
    </row>
    <row r="339" spans="2:5" x14ac:dyDescent="0.3">
      <c r="B339" s="66" t="s">
        <v>230</v>
      </c>
      <c r="C339" s="66" t="s">
        <v>231</v>
      </c>
      <c r="D339" s="80">
        <v>0.85</v>
      </c>
    </row>
    <row r="340" spans="2:5" x14ac:dyDescent="0.3">
      <c r="B340" s="67" t="s">
        <v>232</v>
      </c>
      <c r="C340" s="67" t="s">
        <v>233</v>
      </c>
      <c r="D340" s="83">
        <v>0.79</v>
      </c>
    </row>
    <row r="341" spans="2:5" x14ac:dyDescent="0.3">
      <c r="B341" s="66" t="s">
        <v>234</v>
      </c>
      <c r="C341" s="66" t="s">
        <v>235</v>
      </c>
      <c r="D341" s="80">
        <v>2.3199999999999998</v>
      </c>
    </row>
    <row r="342" spans="2:5" x14ac:dyDescent="0.3">
      <c r="B342" s="66" t="s">
        <v>90</v>
      </c>
      <c r="C342" s="66" t="s">
        <v>236</v>
      </c>
      <c r="D342" s="80">
        <v>1.27</v>
      </c>
    </row>
    <row r="343" spans="2:5" x14ac:dyDescent="0.3">
      <c r="B343" s="66" t="s">
        <v>92</v>
      </c>
      <c r="C343" s="66" t="s">
        <v>237</v>
      </c>
      <c r="D343" s="80">
        <v>1.74</v>
      </c>
    </row>
    <row r="344" spans="2:5" x14ac:dyDescent="0.3">
      <c r="B344" s="66" t="s">
        <v>238</v>
      </c>
      <c r="C344" s="66" t="s">
        <v>239</v>
      </c>
      <c r="D344" s="80">
        <v>1.95</v>
      </c>
    </row>
    <row r="345" spans="2:5" x14ac:dyDescent="0.3">
      <c r="B345" s="66" t="s">
        <v>240</v>
      </c>
      <c r="C345" s="66" t="s">
        <v>241</v>
      </c>
      <c r="D345" s="80">
        <v>4.4000000000000004</v>
      </c>
      <c r="E345" s="3"/>
    </row>
    <row r="346" spans="2:5" x14ac:dyDescent="0.3">
      <c r="B346" s="66" t="s">
        <v>242</v>
      </c>
      <c r="C346" s="66" t="s">
        <v>243</v>
      </c>
      <c r="D346" s="80">
        <v>4.4000000000000004</v>
      </c>
      <c r="E346" s="3"/>
    </row>
    <row r="347" spans="2:5" x14ac:dyDescent="0.3">
      <c r="B347" s="66" t="s">
        <v>244</v>
      </c>
      <c r="C347" s="66" t="s">
        <v>245</v>
      </c>
      <c r="D347" s="80">
        <v>4.4000000000000004</v>
      </c>
      <c r="E347" s="3"/>
    </row>
    <row r="348" spans="2:5" x14ac:dyDescent="0.3">
      <c r="B348" s="66" t="s">
        <v>246</v>
      </c>
      <c r="C348" s="66" t="s">
        <v>247</v>
      </c>
      <c r="D348" s="80">
        <v>4.4000000000000004</v>
      </c>
      <c r="E348" s="3"/>
    </row>
    <row r="349" spans="2:5" x14ac:dyDescent="0.35">
      <c r="B349" s="66" t="s">
        <v>248</v>
      </c>
      <c r="C349" s="66" t="s">
        <v>249</v>
      </c>
      <c r="D349" s="82">
        <v>2.36</v>
      </c>
      <c r="E349" s="3"/>
    </row>
    <row r="350" spans="2:5" x14ac:dyDescent="0.35">
      <c r="B350" s="66" t="s">
        <v>250</v>
      </c>
      <c r="C350" s="66" t="s">
        <v>251</v>
      </c>
      <c r="D350" s="82">
        <v>1.88</v>
      </c>
      <c r="E350" s="3"/>
    </row>
    <row r="351" spans="2:5" x14ac:dyDescent="0.35">
      <c r="B351" s="66" t="s">
        <v>252</v>
      </c>
      <c r="C351" s="66" t="s">
        <v>253</v>
      </c>
      <c r="D351" s="82">
        <v>1.04</v>
      </c>
    </row>
    <row r="352" spans="2:5" x14ac:dyDescent="0.35">
      <c r="B352" s="66" t="s">
        <v>254</v>
      </c>
      <c r="C352" s="66" t="s">
        <v>255</v>
      </c>
      <c r="D352" s="82">
        <v>0.76</v>
      </c>
    </row>
    <row r="353" spans="2:4" x14ac:dyDescent="0.35">
      <c r="B353" s="66" t="s">
        <v>256</v>
      </c>
      <c r="C353" s="66" t="s">
        <v>257</v>
      </c>
      <c r="D353" s="82">
        <v>0.7</v>
      </c>
    </row>
    <row r="354" spans="2:4" x14ac:dyDescent="0.35">
      <c r="B354" s="66" t="s">
        <v>110</v>
      </c>
      <c r="C354" s="66" t="s">
        <v>111</v>
      </c>
      <c r="D354" s="82">
        <v>1.1200000000000001</v>
      </c>
    </row>
    <row r="355" spans="2:4" x14ac:dyDescent="0.35">
      <c r="B355" s="66" t="s">
        <v>258</v>
      </c>
      <c r="C355" s="66" t="s">
        <v>157</v>
      </c>
      <c r="D355" s="82">
        <v>3</v>
      </c>
    </row>
    <row r="356" spans="2:4" x14ac:dyDescent="0.35">
      <c r="B356" s="66" t="s">
        <v>259</v>
      </c>
      <c r="C356" s="66" t="s">
        <v>260</v>
      </c>
      <c r="D356" s="82">
        <v>3</v>
      </c>
    </row>
    <row r="357" spans="2:4" x14ac:dyDescent="0.3">
      <c r="B357" s="66" t="s">
        <v>261</v>
      </c>
      <c r="C357" s="66" t="s">
        <v>262</v>
      </c>
      <c r="D357" s="80">
        <v>0.18</v>
      </c>
    </row>
    <row r="358" spans="2:4" x14ac:dyDescent="0.3">
      <c r="B358" s="66" t="s">
        <v>147</v>
      </c>
      <c r="C358" s="66" t="s">
        <v>263</v>
      </c>
      <c r="D358" s="80">
        <v>20</v>
      </c>
    </row>
    <row r="359" spans="2:4" x14ac:dyDescent="0.3">
      <c r="B359" s="66" t="s">
        <v>264</v>
      </c>
      <c r="C359" s="66" t="s">
        <v>265</v>
      </c>
      <c r="D359" s="80">
        <v>8.2200000000000006</v>
      </c>
    </row>
    <row r="360" spans="2:4" x14ac:dyDescent="0.3">
      <c r="B360" s="66" t="s">
        <v>266</v>
      </c>
      <c r="C360" s="66" t="s">
        <v>267</v>
      </c>
      <c r="D360" s="80">
        <v>3.4609999999999999</v>
      </c>
    </row>
    <row r="361" spans="2:4" x14ac:dyDescent="0.3">
      <c r="B361" s="66" t="s">
        <v>268</v>
      </c>
      <c r="C361" s="66" t="s">
        <v>269</v>
      </c>
      <c r="D361" s="80">
        <v>3.2450000000000001</v>
      </c>
    </row>
    <row r="362" spans="2:4" x14ac:dyDescent="0.3">
      <c r="B362" s="66" t="s">
        <v>270</v>
      </c>
      <c r="C362" s="66" t="s">
        <v>271</v>
      </c>
      <c r="D362" s="80">
        <v>4.93</v>
      </c>
    </row>
    <row r="363" spans="2:4" x14ac:dyDescent="0.3">
      <c r="B363" s="66" t="s">
        <v>272</v>
      </c>
      <c r="C363" s="66" t="s">
        <v>273</v>
      </c>
      <c r="D363" s="80">
        <v>1</v>
      </c>
    </row>
    <row r="364" spans="2:4" x14ac:dyDescent="0.3">
      <c r="B364" s="66" t="s">
        <v>274</v>
      </c>
      <c r="C364" s="66" t="s">
        <v>275</v>
      </c>
      <c r="D364" s="80">
        <v>6.3</v>
      </c>
    </row>
    <row r="365" spans="2:4" x14ac:dyDescent="0.3">
      <c r="B365" s="66" t="s">
        <v>425</v>
      </c>
      <c r="C365" s="66" t="s">
        <v>426</v>
      </c>
      <c r="D365" s="80">
        <v>0.18</v>
      </c>
    </row>
    <row r="366" spans="2:4" x14ac:dyDescent="0.35">
      <c r="B366" s="66" t="s">
        <v>306</v>
      </c>
      <c r="C366" s="66" t="s">
        <v>307</v>
      </c>
      <c r="D366" s="82">
        <v>22</v>
      </c>
    </row>
    <row r="367" spans="2:4" x14ac:dyDescent="0.3">
      <c r="B367" s="66" t="s">
        <v>308</v>
      </c>
      <c r="C367" s="66" t="s">
        <v>309</v>
      </c>
      <c r="D367" s="80">
        <v>7.92</v>
      </c>
    </row>
    <row r="368" spans="2:4" x14ac:dyDescent="0.3">
      <c r="B368" s="66" t="s">
        <v>310</v>
      </c>
      <c r="C368" s="66" t="s">
        <v>262</v>
      </c>
      <c r="D368" s="80">
        <v>0.18</v>
      </c>
    </row>
    <row r="369" spans="2:4" x14ac:dyDescent="0.3">
      <c r="B369" s="66" t="s">
        <v>311</v>
      </c>
      <c r="C369" s="66" t="s">
        <v>312</v>
      </c>
      <c r="D369" s="80">
        <v>8</v>
      </c>
    </row>
    <row r="370" spans="2:4" x14ac:dyDescent="0.35">
      <c r="B370" s="66" t="s">
        <v>313</v>
      </c>
      <c r="C370" s="66" t="s">
        <v>314</v>
      </c>
      <c r="D370" s="82">
        <v>1.1399999999999999</v>
      </c>
    </row>
    <row r="371" spans="2:4" x14ac:dyDescent="0.35">
      <c r="B371" s="66" t="s">
        <v>315</v>
      </c>
      <c r="C371" s="66" t="s">
        <v>316</v>
      </c>
      <c r="D371" s="82">
        <v>0.35</v>
      </c>
    </row>
    <row r="372" spans="2:4" x14ac:dyDescent="0.35">
      <c r="B372" s="66" t="s">
        <v>317</v>
      </c>
      <c r="C372" s="66" t="s">
        <v>318</v>
      </c>
      <c r="D372" s="82">
        <v>0.35</v>
      </c>
    </row>
    <row r="373" spans="2:4" x14ac:dyDescent="0.35">
      <c r="B373" s="66" t="s">
        <v>319</v>
      </c>
      <c r="C373" s="66" t="s">
        <v>320</v>
      </c>
      <c r="D373" s="82">
        <v>0.8</v>
      </c>
    </row>
    <row r="374" spans="2:4" x14ac:dyDescent="0.35">
      <c r="B374" s="66" t="s">
        <v>321</v>
      </c>
      <c r="C374" s="66" t="s">
        <v>322</v>
      </c>
      <c r="D374" s="82">
        <v>0.21</v>
      </c>
    </row>
    <row r="375" spans="2:4" x14ac:dyDescent="0.35">
      <c r="B375" s="66" t="s">
        <v>323</v>
      </c>
      <c r="C375" s="66" t="s">
        <v>324</v>
      </c>
      <c r="D375" s="82">
        <v>0.8</v>
      </c>
    </row>
    <row r="376" spans="2:4" x14ac:dyDescent="0.35">
      <c r="B376" s="66" t="s">
        <v>325</v>
      </c>
      <c r="C376" s="66" t="s">
        <v>326</v>
      </c>
      <c r="D376" s="82">
        <v>0.17</v>
      </c>
    </row>
    <row r="377" spans="2:4" x14ac:dyDescent="0.35">
      <c r="B377" s="66" t="s">
        <v>327</v>
      </c>
      <c r="C377" s="66" t="s">
        <v>328</v>
      </c>
      <c r="D377" s="82">
        <v>0.66</v>
      </c>
    </row>
    <row r="378" spans="2:4" x14ac:dyDescent="0.35">
      <c r="B378" s="66" t="s">
        <v>329</v>
      </c>
      <c r="C378" s="66" t="s">
        <v>330</v>
      </c>
      <c r="D378" s="82">
        <v>0.28999999999999998</v>
      </c>
    </row>
    <row r="379" spans="2:4" x14ac:dyDescent="0.35">
      <c r="B379" s="66" t="s">
        <v>331</v>
      </c>
      <c r="C379" s="66" t="s">
        <v>332</v>
      </c>
      <c r="D379" s="82">
        <v>0.28999999999999998</v>
      </c>
    </row>
    <row r="380" spans="2:4" x14ac:dyDescent="0.35">
      <c r="B380" s="66" t="s">
        <v>333</v>
      </c>
      <c r="C380" s="66" t="s">
        <v>334</v>
      </c>
      <c r="D380" s="82">
        <v>0.18</v>
      </c>
    </row>
    <row r="381" spans="2:4" x14ac:dyDescent="0.35">
      <c r="B381" s="66" t="s">
        <v>335</v>
      </c>
      <c r="C381" s="66" t="s">
        <v>336</v>
      </c>
      <c r="D381" s="82">
        <v>0.26</v>
      </c>
    </row>
    <row r="382" spans="2:4" x14ac:dyDescent="0.35">
      <c r="B382" s="66" t="s">
        <v>337</v>
      </c>
      <c r="C382" s="66" t="s">
        <v>338</v>
      </c>
      <c r="D382" s="82">
        <v>2.25</v>
      </c>
    </row>
    <row r="383" spans="2:4" x14ac:dyDescent="0.35">
      <c r="B383" s="66" t="s">
        <v>339</v>
      </c>
      <c r="C383" s="66" t="s">
        <v>340</v>
      </c>
      <c r="D383" s="82">
        <v>2.2999999999999998</v>
      </c>
    </row>
    <row r="384" spans="2:4" x14ac:dyDescent="0.35">
      <c r="B384" s="66" t="s">
        <v>341</v>
      </c>
      <c r="C384" s="66" t="s">
        <v>342</v>
      </c>
      <c r="D384" s="82">
        <v>0.2</v>
      </c>
    </row>
    <row r="385" spans="2:5" x14ac:dyDescent="0.35">
      <c r="B385" s="66" t="s">
        <v>343</v>
      </c>
      <c r="C385" s="66" t="s">
        <v>344</v>
      </c>
      <c r="D385" s="82">
        <v>1</v>
      </c>
    </row>
    <row r="386" spans="2:5" x14ac:dyDescent="0.35">
      <c r="B386" s="66" t="s">
        <v>370</v>
      </c>
      <c r="C386" s="66" t="s">
        <v>371</v>
      </c>
      <c r="D386" s="82">
        <v>4.4000000000000004</v>
      </c>
    </row>
    <row r="387" spans="2:5" x14ac:dyDescent="0.35">
      <c r="B387" s="66" t="s">
        <v>394</v>
      </c>
      <c r="C387" s="66" t="s">
        <v>395</v>
      </c>
      <c r="D387" s="82">
        <v>0.55000000000000004</v>
      </c>
    </row>
    <row r="388" spans="2:5" x14ac:dyDescent="0.35">
      <c r="B388" s="5" t="s">
        <v>347</v>
      </c>
      <c r="C388" s="5" t="s">
        <v>348</v>
      </c>
      <c r="D388" s="85" t="s">
        <v>735</v>
      </c>
    </row>
    <row r="389" spans="2:5" x14ac:dyDescent="0.35">
      <c r="B389" s="66" t="s">
        <v>349</v>
      </c>
      <c r="C389" s="66" t="s">
        <v>350</v>
      </c>
      <c r="D389" s="82">
        <v>5.44</v>
      </c>
      <c r="E389" s="3"/>
    </row>
    <row r="390" spans="2:5" x14ac:dyDescent="0.35">
      <c r="B390" s="66" t="s">
        <v>351</v>
      </c>
      <c r="C390" s="66" t="s">
        <v>352</v>
      </c>
      <c r="D390" s="82">
        <v>2.98</v>
      </c>
      <c r="E390" s="3"/>
    </row>
    <row r="391" spans="2:5" x14ac:dyDescent="0.3">
      <c r="B391" s="66" t="s">
        <v>476</v>
      </c>
      <c r="C391" s="66" t="s">
        <v>477</v>
      </c>
      <c r="D391" s="80">
        <v>2.2709999999999999</v>
      </c>
      <c r="E391" s="3"/>
    </row>
    <row r="392" spans="2:5" x14ac:dyDescent="0.35">
      <c r="B392" s="66" t="s">
        <v>396</v>
      </c>
      <c r="C392" s="66" t="s">
        <v>397</v>
      </c>
      <c r="D392" s="82">
        <v>3.52</v>
      </c>
      <c r="E392" s="3"/>
    </row>
    <row r="393" spans="2:5" x14ac:dyDescent="0.35">
      <c r="B393" s="66" t="s">
        <v>345</v>
      </c>
      <c r="C393" s="66" t="s">
        <v>346</v>
      </c>
      <c r="D393" s="82">
        <v>3.52</v>
      </c>
      <c r="E393" s="3"/>
    </row>
    <row r="394" spans="2:5" x14ac:dyDescent="0.35">
      <c r="B394" s="67" t="s">
        <v>90</v>
      </c>
      <c r="C394" s="67" t="s">
        <v>91</v>
      </c>
      <c r="D394" s="88">
        <v>1.27</v>
      </c>
    </row>
    <row r="395" spans="2:5" x14ac:dyDescent="0.35">
      <c r="B395" s="67" t="s">
        <v>92</v>
      </c>
      <c r="C395" s="67" t="s">
        <v>93</v>
      </c>
      <c r="D395" s="88">
        <v>1.74</v>
      </c>
    </row>
    <row r="396" spans="2:5" x14ac:dyDescent="0.35">
      <c r="B396" s="67" t="s">
        <v>94</v>
      </c>
      <c r="C396" s="67" t="s">
        <v>95</v>
      </c>
      <c r="D396" s="88">
        <v>1.95</v>
      </c>
    </row>
    <row r="397" spans="2:5" x14ac:dyDescent="0.35">
      <c r="B397" s="66" t="s">
        <v>96</v>
      </c>
      <c r="C397" s="66" t="s">
        <v>97</v>
      </c>
      <c r="D397" s="82">
        <v>0.8</v>
      </c>
    </row>
    <row r="398" spans="2:5" x14ac:dyDescent="0.35">
      <c r="B398" s="66" t="s">
        <v>98</v>
      </c>
      <c r="C398" s="66" t="s">
        <v>99</v>
      </c>
      <c r="D398" s="82">
        <v>0.87</v>
      </c>
    </row>
    <row r="399" spans="2:5" x14ac:dyDescent="0.35">
      <c r="B399" s="66" t="s">
        <v>100</v>
      </c>
      <c r="C399" s="66" t="s">
        <v>101</v>
      </c>
      <c r="D399" s="82">
        <v>2.3199999999999998</v>
      </c>
    </row>
    <row r="400" spans="2:5" x14ac:dyDescent="0.35">
      <c r="B400" s="66" t="s">
        <v>102</v>
      </c>
      <c r="C400" s="66" t="s">
        <v>103</v>
      </c>
      <c r="D400" s="82">
        <v>1.1299999999999999</v>
      </c>
    </row>
    <row r="401" spans="2:4" x14ac:dyDescent="0.35">
      <c r="B401" s="66" t="s">
        <v>104</v>
      </c>
      <c r="C401" s="66" t="s">
        <v>105</v>
      </c>
      <c r="D401" s="82">
        <v>0.98</v>
      </c>
    </row>
    <row r="402" spans="2:4" x14ac:dyDescent="0.35">
      <c r="B402" s="66" t="s">
        <v>156</v>
      </c>
      <c r="C402" s="66" t="s">
        <v>157</v>
      </c>
      <c r="D402" s="82">
        <v>3</v>
      </c>
    </row>
    <row r="403" spans="2:4" x14ac:dyDescent="0.35">
      <c r="B403" s="66" t="s">
        <v>110</v>
      </c>
      <c r="C403" s="66" t="s">
        <v>111</v>
      </c>
      <c r="D403" s="82">
        <v>1.1200000000000001</v>
      </c>
    </row>
    <row r="404" spans="2:4" x14ac:dyDescent="0.35">
      <c r="B404" s="66" t="s">
        <v>112</v>
      </c>
      <c r="C404" s="66" t="s">
        <v>113</v>
      </c>
      <c r="D404" s="82">
        <v>1.1200000000000001</v>
      </c>
    </row>
    <row r="405" spans="2:4" x14ac:dyDescent="0.35">
      <c r="B405" s="66" t="s">
        <v>114</v>
      </c>
      <c r="C405" s="66" t="s">
        <v>115</v>
      </c>
      <c r="D405" s="82">
        <v>2.21</v>
      </c>
    </row>
    <row r="406" spans="2:4" x14ac:dyDescent="0.3">
      <c r="B406" s="66" t="s">
        <v>116</v>
      </c>
      <c r="C406" s="66" t="s">
        <v>117</v>
      </c>
      <c r="D406" s="80">
        <v>2.17</v>
      </c>
    </row>
    <row r="407" spans="2:4" x14ac:dyDescent="0.3">
      <c r="B407" s="66" t="s">
        <v>118</v>
      </c>
      <c r="C407" s="66" t="s">
        <v>119</v>
      </c>
      <c r="D407" s="80">
        <v>0.03</v>
      </c>
    </row>
    <row r="408" spans="2:4" x14ac:dyDescent="0.3">
      <c r="B408" s="66" t="s">
        <v>120</v>
      </c>
      <c r="C408" s="66" t="s">
        <v>121</v>
      </c>
      <c r="D408" s="80">
        <v>0.5</v>
      </c>
    </row>
    <row r="409" spans="2:4" x14ac:dyDescent="0.35">
      <c r="B409" s="66" t="s">
        <v>122</v>
      </c>
      <c r="C409" s="66" t="s">
        <v>123</v>
      </c>
      <c r="D409" s="82">
        <v>0.13</v>
      </c>
    </row>
    <row r="410" spans="2:4" x14ac:dyDescent="0.35">
      <c r="B410" s="66" t="s">
        <v>124</v>
      </c>
      <c r="C410" s="66" t="s">
        <v>125</v>
      </c>
      <c r="D410" s="82">
        <v>1.6</v>
      </c>
    </row>
    <row r="411" spans="2:4" x14ac:dyDescent="0.35">
      <c r="B411" s="66" t="s">
        <v>126</v>
      </c>
      <c r="C411" s="66" t="s">
        <v>127</v>
      </c>
      <c r="D411" s="82">
        <v>1.9</v>
      </c>
    </row>
    <row r="412" spans="2:4" x14ac:dyDescent="0.35">
      <c r="B412" s="66" t="s">
        <v>128</v>
      </c>
      <c r="C412" s="66" t="s">
        <v>129</v>
      </c>
      <c r="D412" s="82">
        <v>3.5</v>
      </c>
    </row>
    <row r="413" spans="2:4" x14ac:dyDescent="0.35">
      <c r="B413" s="66" t="s">
        <v>130</v>
      </c>
      <c r="C413" s="66" t="s">
        <v>131</v>
      </c>
      <c r="D413" s="82">
        <v>1.01</v>
      </c>
    </row>
    <row r="414" spans="2:4" x14ac:dyDescent="0.35">
      <c r="D414" s="85"/>
    </row>
    <row r="415" spans="2:4" x14ac:dyDescent="0.35">
      <c r="D415" s="85"/>
    </row>
    <row r="416" spans="2:4" x14ac:dyDescent="0.35">
      <c r="D416" s="85"/>
    </row>
    <row r="417" spans="2:11" x14ac:dyDescent="0.35">
      <c r="D417" s="85"/>
    </row>
    <row r="418" spans="2:11" x14ac:dyDescent="0.35">
      <c r="D418" s="85"/>
    </row>
    <row r="419" spans="2:11" x14ac:dyDescent="0.35">
      <c r="D419" s="85"/>
    </row>
    <row r="420" spans="2:11" x14ac:dyDescent="0.35">
      <c r="D420" s="85"/>
    </row>
    <row r="421" spans="2:11" x14ac:dyDescent="0.35">
      <c r="B421" s="5" t="s">
        <v>68</v>
      </c>
      <c r="C421" s="5" t="s">
        <v>80</v>
      </c>
      <c r="D421" s="85"/>
      <c r="G421">
        <v>22</v>
      </c>
      <c r="H421" s="1" t="s">
        <v>748</v>
      </c>
      <c r="I421" s="7">
        <v>23</v>
      </c>
      <c r="J421" s="1" t="s">
        <v>559</v>
      </c>
      <c r="K421" s="3" t="s">
        <v>192</v>
      </c>
    </row>
    <row r="422" spans="2:11" x14ac:dyDescent="0.35">
      <c r="B422" s="5" t="s">
        <v>607</v>
      </c>
      <c r="C422" s="5" t="s">
        <v>608</v>
      </c>
      <c r="D422" s="85"/>
      <c r="G422">
        <v>22</v>
      </c>
      <c r="H422" s="1" t="s">
        <v>748</v>
      </c>
      <c r="I422" s="7">
        <v>24</v>
      </c>
      <c r="J422" s="5" t="s">
        <v>209</v>
      </c>
      <c r="K422" s="3" t="s">
        <v>523</v>
      </c>
    </row>
    <row r="423" spans="2:11" x14ac:dyDescent="0.35">
      <c r="B423" s="5" t="s">
        <v>106</v>
      </c>
      <c r="C423" s="5" t="s">
        <v>107</v>
      </c>
      <c r="G423">
        <v>22</v>
      </c>
      <c r="H423" s="1" t="s">
        <v>748</v>
      </c>
      <c r="I423" s="7">
        <v>25</v>
      </c>
      <c r="J423" s="5" t="s">
        <v>210</v>
      </c>
      <c r="K423" s="3" t="s">
        <v>532</v>
      </c>
    </row>
    <row r="424" spans="2:11" x14ac:dyDescent="0.35">
      <c r="B424" s="5" t="s">
        <v>108</v>
      </c>
      <c r="C424" s="5" t="s">
        <v>109</v>
      </c>
      <c r="G424" s="78">
        <v>22</v>
      </c>
      <c r="H424" s="28" t="s">
        <v>749</v>
      </c>
      <c r="I424" s="31">
        <v>23</v>
      </c>
      <c r="J424" s="28" t="s">
        <v>559</v>
      </c>
      <c r="K424" s="29" t="s">
        <v>192</v>
      </c>
    </row>
    <row r="425" spans="2:11" x14ac:dyDescent="0.35">
      <c r="B425" s="5" t="s">
        <v>681</v>
      </c>
      <c r="C425" s="5" t="s">
        <v>690</v>
      </c>
      <c r="G425" s="78">
        <v>22</v>
      </c>
      <c r="H425" s="28" t="s">
        <v>749</v>
      </c>
      <c r="I425" s="31">
        <v>24</v>
      </c>
      <c r="J425" s="66" t="s">
        <v>209</v>
      </c>
      <c r="K425" s="29"/>
    </row>
    <row r="426" spans="2:11" x14ac:dyDescent="0.35">
      <c r="B426" s="5" t="s">
        <v>680</v>
      </c>
      <c r="C426" s="5" t="s">
        <v>689</v>
      </c>
      <c r="G426" s="78">
        <v>22</v>
      </c>
      <c r="H426" s="28" t="s">
        <v>749</v>
      </c>
      <c r="I426" s="31">
        <v>25</v>
      </c>
      <c r="J426" s="66" t="s">
        <v>210</v>
      </c>
      <c r="K426" s="29"/>
    </row>
    <row r="427" spans="2:11" x14ac:dyDescent="0.35">
      <c r="B427" s="5" t="s">
        <v>682</v>
      </c>
      <c r="C427" s="5" t="s">
        <v>691</v>
      </c>
      <c r="G427">
        <v>22</v>
      </c>
      <c r="H427" s="1" t="s">
        <v>724</v>
      </c>
      <c r="I427" s="18">
        <v>1</v>
      </c>
      <c r="J427" s="1" t="s">
        <v>474</v>
      </c>
      <c r="K427" s="3" t="s">
        <v>475</v>
      </c>
    </row>
    <row r="428" spans="2:11" x14ac:dyDescent="0.35">
      <c r="B428" s="5" t="s">
        <v>683</v>
      </c>
      <c r="C428" s="5" t="s">
        <v>692</v>
      </c>
      <c r="G428" s="78">
        <v>22</v>
      </c>
      <c r="H428" s="28" t="s">
        <v>725</v>
      </c>
      <c r="I428" s="27">
        <v>1</v>
      </c>
      <c r="J428" s="28" t="s">
        <v>474</v>
      </c>
      <c r="K428" s="29"/>
    </row>
    <row r="429" spans="2:11" x14ac:dyDescent="0.35">
      <c r="B429" s="5" t="s">
        <v>684</v>
      </c>
      <c r="C429" s="5" t="s">
        <v>693</v>
      </c>
      <c r="G429">
        <v>22</v>
      </c>
      <c r="H429" s="1" t="s">
        <v>726</v>
      </c>
      <c r="I429" s="18">
        <v>1</v>
      </c>
      <c r="J429" s="1" t="s">
        <v>559</v>
      </c>
      <c r="K429" s="3" t="s">
        <v>192</v>
      </c>
    </row>
    <row r="430" spans="2:11" x14ac:dyDescent="0.35">
      <c r="B430" s="5" t="s">
        <v>685</v>
      </c>
      <c r="C430" s="5" t="s">
        <v>694</v>
      </c>
      <c r="G430" s="78">
        <v>22</v>
      </c>
      <c r="H430" s="28" t="s">
        <v>727</v>
      </c>
      <c r="I430" s="27">
        <v>1</v>
      </c>
      <c r="J430" s="28" t="s">
        <v>559</v>
      </c>
      <c r="K430" s="29"/>
    </row>
    <row r="431" spans="2:11" x14ac:dyDescent="0.35">
      <c r="B431" s="5" t="s">
        <v>686</v>
      </c>
      <c r="C431" s="5" t="s">
        <v>695</v>
      </c>
      <c r="G431">
        <v>32</v>
      </c>
      <c r="H431" s="1" t="s">
        <v>748</v>
      </c>
      <c r="I431" s="7">
        <v>20</v>
      </c>
      <c r="J431" s="1" t="s">
        <v>560</v>
      </c>
      <c r="K431" s="3" t="s">
        <v>192</v>
      </c>
    </row>
    <row r="432" spans="2:11" x14ac:dyDescent="0.35">
      <c r="B432" s="5" t="s">
        <v>687</v>
      </c>
      <c r="C432" s="5" t="s">
        <v>696</v>
      </c>
      <c r="G432">
        <v>32</v>
      </c>
      <c r="H432" s="1" t="s">
        <v>748</v>
      </c>
      <c r="I432" s="7">
        <v>21</v>
      </c>
      <c r="J432" s="5" t="s">
        <v>291</v>
      </c>
      <c r="K432" s="3" t="s">
        <v>524</v>
      </c>
    </row>
    <row r="433" spans="1:12" x14ac:dyDescent="0.35">
      <c r="B433" s="5" t="s">
        <v>688</v>
      </c>
      <c r="C433" s="5" t="s">
        <v>697</v>
      </c>
      <c r="G433">
        <v>32</v>
      </c>
      <c r="H433" s="1" t="s">
        <v>748</v>
      </c>
      <c r="I433" s="7">
        <v>22</v>
      </c>
      <c r="J433" s="5" t="s">
        <v>292</v>
      </c>
      <c r="K433" s="3" t="s">
        <v>533</v>
      </c>
    </row>
    <row r="434" spans="1:12" x14ac:dyDescent="0.35">
      <c r="B434" s="5" t="s">
        <v>624</v>
      </c>
      <c r="C434" s="5" t="s">
        <v>625</v>
      </c>
      <c r="G434" s="78">
        <v>32</v>
      </c>
      <c r="H434" s="28" t="s">
        <v>749</v>
      </c>
      <c r="I434" s="31">
        <v>20</v>
      </c>
      <c r="J434" s="28" t="s">
        <v>560</v>
      </c>
      <c r="K434" s="29"/>
    </row>
    <row r="435" spans="1:12" x14ac:dyDescent="0.35">
      <c r="B435" s="5" t="s">
        <v>626</v>
      </c>
      <c r="C435" s="5" t="s">
        <v>627</v>
      </c>
      <c r="G435" s="78">
        <v>32</v>
      </c>
      <c r="H435" s="28" t="s">
        <v>749</v>
      </c>
      <c r="I435" s="31">
        <v>21</v>
      </c>
      <c r="J435" s="66" t="s">
        <v>291</v>
      </c>
      <c r="K435" s="29"/>
    </row>
    <row r="436" spans="1:12" x14ac:dyDescent="0.35">
      <c r="B436" s="5" t="s">
        <v>628</v>
      </c>
      <c r="C436" s="5" t="s">
        <v>629</v>
      </c>
      <c r="G436" s="78">
        <v>32</v>
      </c>
      <c r="H436" s="28" t="s">
        <v>749</v>
      </c>
      <c r="I436" s="31">
        <v>22</v>
      </c>
      <c r="J436" s="66" t="s">
        <v>292</v>
      </c>
      <c r="K436" s="29"/>
    </row>
    <row r="437" spans="1:12" x14ac:dyDescent="0.35">
      <c r="B437" s="5" t="s">
        <v>668</v>
      </c>
      <c r="C437" s="5" t="s">
        <v>669</v>
      </c>
      <c r="G437">
        <v>32</v>
      </c>
      <c r="H437" s="1" t="s">
        <v>724</v>
      </c>
      <c r="I437" s="18">
        <v>1</v>
      </c>
      <c r="J437" s="1" t="s">
        <v>481</v>
      </c>
      <c r="K437" s="3" t="s">
        <v>482</v>
      </c>
    </row>
    <row r="438" spans="1:12" x14ac:dyDescent="0.35">
      <c r="B438" s="5" t="s">
        <v>678</v>
      </c>
      <c r="C438" s="5" t="s">
        <v>679</v>
      </c>
      <c r="G438" s="78">
        <v>32</v>
      </c>
      <c r="H438" s="28" t="s">
        <v>725</v>
      </c>
      <c r="I438" s="27">
        <v>1</v>
      </c>
      <c r="J438" s="28" t="s">
        <v>481</v>
      </c>
      <c r="K438" s="29"/>
    </row>
    <row r="439" spans="1:12" x14ac:dyDescent="0.35">
      <c r="B439" s="5" t="s">
        <v>593</v>
      </c>
      <c r="C439" s="5" t="s">
        <v>592</v>
      </c>
      <c r="G439">
        <v>32</v>
      </c>
      <c r="H439" s="1" t="s">
        <v>726</v>
      </c>
      <c r="I439" s="18">
        <v>1</v>
      </c>
      <c r="J439" s="1" t="s">
        <v>560</v>
      </c>
      <c r="K439" s="3" t="s">
        <v>192</v>
      </c>
      <c r="L439" s="3"/>
    </row>
    <row r="440" spans="1:12" x14ac:dyDescent="0.35">
      <c r="B440" s="5" t="s">
        <v>594</v>
      </c>
      <c r="C440" s="5" t="s">
        <v>595</v>
      </c>
      <c r="G440" s="78">
        <v>32</v>
      </c>
      <c r="H440" s="28" t="s">
        <v>727</v>
      </c>
      <c r="I440" s="27">
        <v>1</v>
      </c>
      <c r="J440" s="28" t="s">
        <v>560</v>
      </c>
      <c r="K440" s="29"/>
      <c r="L440" s="3"/>
    </row>
    <row r="441" spans="1:12" x14ac:dyDescent="0.35">
      <c r="B441" s="5" t="s">
        <v>598</v>
      </c>
      <c r="C441" s="5" t="s">
        <v>597</v>
      </c>
      <c r="G441">
        <v>42</v>
      </c>
      <c r="H441" s="1" t="s">
        <v>748</v>
      </c>
      <c r="I441" s="7">
        <v>22</v>
      </c>
      <c r="J441" s="1" t="s">
        <v>561</v>
      </c>
      <c r="K441" s="3" t="s">
        <v>192</v>
      </c>
    </row>
    <row r="442" spans="1:12" x14ac:dyDescent="0.35">
      <c r="B442" s="32" t="s">
        <v>603</v>
      </c>
      <c r="C442" s="5" t="s">
        <v>605</v>
      </c>
      <c r="G442">
        <v>42</v>
      </c>
      <c r="H442" s="1" t="s">
        <v>748</v>
      </c>
      <c r="I442" s="7">
        <v>23</v>
      </c>
      <c r="J442" s="5" t="s">
        <v>365</v>
      </c>
      <c r="K442" s="3" t="s">
        <v>525</v>
      </c>
    </row>
    <row r="443" spans="1:12" x14ac:dyDescent="0.35">
      <c r="A443" s="96" t="s">
        <v>744</v>
      </c>
      <c r="B443" s="5" t="s">
        <v>614</v>
      </c>
      <c r="C443" s="5" t="s">
        <v>619</v>
      </c>
      <c r="G443">
        <v>42</v>
      </c>
      <c r="H443" s="1" t="s">
        <v>748</v>
      </c>
      <c r="I443" s="7">
        <v>24</v>
      </c>
      <c r="J443" s="5" t="s">
        <v>366</v>
      </c>
      <c r="K443" s="3" t="s">
        <v>534</v>
      </c>
    </row>
    <row r="444" spans="1:12" x14ac:dyDescent="0.35">
      <c r="A444" s="96"/>
      <c r="B444" s="5" t="s">
        <v>617</v>
      </c>
      <c r="C444" s="5" t="s">
        <v>622</v>
      </c>
      <c r="G444" s="78">
        <v>42</v>
      </c>
      <c r="H444" s="28" t="s">
        <v>749</v>
      </c>
      <c r="I444" s="31">
        <v>22</v>
      </c>
      <c r="J444" s="28" t="s">
        <v>561</v>
      </c>
      <c r="K444" s="29"/>
    </row>
    <row r="445" spans="1:12" x14ac:dyDescent="0.35">
      <c r="A445" s="3" t="s">
        <v>745</v>
      </c>
      <c r="B445" s="5" t="s">
        <v>615</v>
      </c>
      <c r="C445" s="5" t="s">
        <v>620</v>
      </c>
      <c r="G445" s="78">
        <v>42</v>
      </c>
      <c r="H445" s="28" t="s">
        <v>749</v>
      </c>
      <c r="I445" s="31">
        <v>23</v>
      </c>
      <c r="J445" s="66" t="s">
        <v>365</v>
      </c>
      <c r="K445" s="29"/>
    </row>
    <row r="446" spans="1:12" x14ac:dyDescent="0.35">
      <c r="A446" s="96">
        <v>15</v>
      </c>
      <c r="B446" s="5" t="s">
        <v>616</v>
      </c>
      <c r="C446" s="5" t="s">
        <v>621</v>
      </c>
      <c r="G446" s="78">
        <v>42</v>
      </c>
      <c r="H446" s="28" t="s">
        <v>749</v>
      </c>
      <c r="I446" s="31">
        <v>24</v>
      </c>
      <c r="J446" s="66" t="s">
        <v>366</v>
      </c>
      <c r="K446" s="29"/>
    </row>
    <row r="447" spans="1:12" x14ac:dyDescent="0.35">
      <c r="A447" s="96"/>
      <c r="B447" s="5" t="s">
        <v>618</v>
      </c>
      <c r="C447" s="5" t="s">
        <v>623</v>
      </c>
      <c r="G447">
        <v>42</v>
      </c>
      <c r="H447" s="1" t="s">
        <v>724</v>
      </c>
      <c r="I447" s="18">
        <v>1</v>
      </c>
      <c r="J447" s="1" t="s">
        <v>562</v>
      </c>
      <c r="K447" s="3" t="s">
        <v>192</v>
      </c>
      <c r="L447" s="3"/>
    </row>
    <row r="448" spans="1:12" x14ac:dyDescent="0.35">
      <c r="A448" s="3">
        <v>22</v>
      </c>
      <c r="B448" s="5" t="s">
        <v>704</v>
      </c>
      <c r="C448" s="5" t="s">
        <v>705</v>
      </c>
      <c r="G448" s="78">
        <v>42</v>
      </c>
      <c r="H448" s="28" t="s">
        <v>725</v>
      </c>
      <c r="I448" s="27">
        <v>1</v>
      </c>
      <c r="J448" s="28" t="s">
        <v>562</v>
      </c>
      <c r="K448" s="29"/>
      <c r="L448" s="3"/>
    </row>
    <row r="449" spans="1:11" x14ac:dyDescent="0.35">
      <c r="A449" s="3">
        <v>32</v>
      </c>
      <c r="B449" s="5" t="s">
        <v>706</v>
      </c>
      <c r="C449" s="5" t="s">
        <v>707</v>
      </c>
      <c r="G449">
        <v>42</v>
      </c>
      <c r="H449" s="1" t="s">
        <v>726</v>
      </c>
      <c r="I449" s="18">
        <v>1</v>
      </c>
      <c r="J449" s="1" t="s">
        <v>561</v>
      </c>
      <c r="K449" s="3" t="s">
        <v>192</v>
      </c>
    </row>
    <row r="450" spans="1:11" x14ac:dyDescent="0.35">
      <c r="A450" s="3">
        <v>42</v>
      </c>
      <c r="B450" s="5" t="s">
        <v>708</v>
      </c>
      <c r="C450" s="5" t="s">
        <v>709</v>
      </c>
      <c r="G450" s="78">
        <v>42</v>
      </c>
      <c r="H450" s="28" t="s">
        <v>727</v>
      </c>
      <c r="I450" s="27">
        <v>1</v>
      </c>
      <c r="J450" s="28" t="s">
        <v>561</v>
      </c>
      <c r="K450" s="29"/>
    </row>
    <row r="451" spans="1:11" x14ac:dyDescent="0.35">
      <c r="A451" s="3">
        <v>53</v>
      </c>
      <c r="B451" s="5" t="s">
        <v>710</v>
      </c>
      <c r="C451" s="5" t="s">
        <v>711</v>
      </c>
      <c r="G451">
        <v>53</v>
      </c>
      <c r="H451" s="1" t="s">
        <v>748</v>
      </c>
      <c r="I451" s="7">
        <v>21</v>
      </c>
      <c r="J451" s="1" t="s">
        <v>563</v>
      </c>
      <c r="K451" s="3" t="s">
        <v>192</v>
      </c>
    </row>
    <row r="452" spans="1:11" x14ac:dyDescent="0.35">
      <c r="A452" s="96">
        <v>64</v>
      </c>
      <c r="B452" s="5" t="s">
        <v>712</v>
      </c>
      <c r="C452" s="5" t="s">
        <v>714</v>
      </c>
      <c r="G452">
        <v>53</v>
      </c>
      <c r="H452" s="1" t="s">
        <v>748</v>
      </c>
      <c r="I452" s="7">
        <v>22</v>
      </c>
      <c r="J452" s="5" t="s">
        <v>386</v>
      </c>
      <c r="K452" s="3" t="s">
        <v>526</v>
      </c>
    </row>
    <row r="453" spans="1:11" x14ac:dyDescent="0.35">
      <c r="A453" s="96"/>
      <c r="B453" s="5" t="s">
        <v>713</v>
      </c>
      <c r="C453" s="5" t="s">
        <v>715</v>
      </c>
      <c r="G453">
        <v>53</v>
      </c>
      <c r="H453" s="1" t="s">
        <v>748</v>
      </c>
      <c r="I453" s="7">
        <v>23</v>
      </c>
      <c r="J453" s="5" t="s">
        <v>387</v>
      </c>
      <c r="K453" s="3" t="s">
        <v>535</v>
      </c>
    </row>
    <row r="454" spans="1:11" x14ac:dyDescent="0.35">
      <c r="A454" s="96">
        <v>90</v>
      </c>
      <c r="B454" s="5" t="s">
        <v>712</v>
      </c>
      <c r="C454" s="5" t="s">
        <v>714</v>
      </c>
      <c r="G454" s="78">
        <v>53</v>
      </c>
      <c r="H454" s="28" t="s">
        <v>749</v>
      </c>
      <c r="I454" s="31">
        <v>21</v>
      </c>
      <c r="J454" s="28" t="s">
        <v>563</v>
      </c>
      <c r="K454" s="29"/>
    </row>
    <row r="455" spans="1:11" x14ac:dyDescent="0.35">
      <c r="A455" s="96"/>
      <c r="B455" s="32" t="s">
        <v>717</v>
      </c>
      <c r="C455" s="5" t="s">
        <v>718</v>
      </c>
      <c r="G455" s="78">
        <v>53</v>
      </c>
      <c r="H455" s="28" t="s">
        <v>749</v>
      </c>
      <c r="I455" s="31">
        <v>22</v>
      </c>
      <c r="J455" s="66" t="s">
        <v>386</v>
      </c>
      <c r="K455" s="29"/>
    </row>
    <row r="456" spans="1:11" x14ac:dyDescent="0.35">
      <c r="A456" s="3">
        <v>15</v>
      </c>
      <c r="B456" s="5" t="s">
        <v>590</v>
      </c>
      <c r="C456" s="5" t="s">
        <v>591</v>
      </c>
      <c r="G456" s="78">
        <v>53</v>
      </c>
      <c r="H456" s="28" t="s">
        <v>749</v>
      </c>
      <c r="I456" s="31">
        <v>23</v>
      </c>
      <c r="J456" s="66" t="s">
        <v>387</v>
      </c>
      <c r="K456" s="29"/>
    </row>
    <row r="457" spans="1:11" x14ac:dyDescent="0.35">
      <c r="B457" s="32" t="s">
        <v>604</v>
      </c>
      <c r="C457" s="5" t="s">
        <v>606</v>
      </c>
      <c r="G457">
        <v>53</v>
      </c>
      <c r="H457" s="1" t="s">
        <v>724</v>
      </c>
      <c r="I457" s="18">
        <v>1</v>
      </c>
      <c r="J457" s="1" t="s">
        <v>564</v>
      </c>
      <c r="K457" s="3" t="s">
        <v>192</v>
      </c>
    </row>
    <row r="458" spans="1:11" x14ac:dyDescent="0.35">
      <c r="B458" s="32" t="s">
        <v>604</v>
      </c>
      <c r="C458" s="5" t="s">
        <v>606</v>
      </c>
      <c r="G458" s="78">
        <v>53</v>
      </c>
      <c r="H458" s="28" t="s">
        <v>725</v>
      </c>
      <c r="I458" s="27">
        <v>1</v>
      </c>
      <c r="J458" s="28" t="s">
        <v>564</v>
      </c>
      <c r="K458" s="29"/>
    </row>
    <row r="459" spans="1:11" x14ac:dyDescent="0.35">
      <c r="A459" s="3">
        <v>11</v>
      </c>
      <c r="B459" s="32" t="s">
        <v>174</v>
      </c>
      <c r="C459" s="5" t="s">
        <v>539</v>
      </c>
      <c r="G459">
        <v>53</v>
      </c>
      <c r="H459" s="1" t="s">
        <v>726</v>
      </c>
      <c r="I459" s="18">
        <v>1</v>
      </c>
      <c r="J459" s="1" t="s">
        <v>563</v>
      </c>
      <c r="K459" s="3" t="s">
        <v>192</v>
      </c>
    </row>
    <row r="460" spans="1:11" x14ac:dyDescent="0.35">
      <c r="A460" s="3">
        <v>15</v>
      </c>
      <c r="B460" s="5" t="s">
        <v>196</v>
      </c>
      <c r="C460" s="5" t="s">
        <v>540</v>
      </c>
      <c r="G460" s="78">
        <v>53</v>
      </c>
      <c r="H460" s="28" t="s">
        <v>727</v>
      </c>
      <c r="I460" s="27">
        <v>1</v>
      </c>
      <c r="J460" s="28" t="s">
        <v>563</v>
      </c>
      <c r="K460" s="29"/>
    </row>
    <row r="461" spans="1:11" x14ac:dyDescent="0.35">
      <c r="B461" s="5" t="s">
        <v>632</v>
      </c>
      <c r="C461" s="5" t="s">
        <v>650</v>
      </c>
      <c r="G461">
        <v>64</v>
      </c>
      <c r="H461" s="1" t="s">
        <v>748</v>
      </c>
      <c r="I461" s="7">
        <v>23</v>
      </c>
      <c r="J461" s="1" t="s">
        <v>565</v>
      </c>
      <c r="K461" s="3" t="s">
        <v>192</v>
      </c>
    </row>
    <row r="462" spans="1:11" x14ac:dyDescent="0.35">
      <c r="B462" s="5" t="s">
        <v>631</v>
      </c>
      <c r="C462" s="5" t="s">
        <v>630</v>
      </c>
      <c r="G462">
        <v>64</v>
      </c>
      <c r="H462" s="1" t="s">
        <v>748</v>
      </c>
      <c r="I462" s="7">
        <v>24</v>
      </c>
      <c r="J462" s="5" t="s">
        <v>413</v>
      </c>
      <c r="K462" s="3" t="s">
        <v>527</v>
      </c>
    </row>
    <row r="463" spans="1:11" x14ac:dyDescent="0.35">
      <c r="B463" s="32" t="s">
        <v>730</v>
      </c>
      <c r="C463" s="5" t="s">
        <v>729</v>
      </c>
      <c r="G463">
        <v>64</v>
      </c>
      <c r="H463" s="1" t="s">
        <v>748</v>
      </c>
      <c r="I463" s="7">
        <v>25</v>
      </c>
      <c r="J463" s="5" t="s">
        <v>414</v>
      </c>
      <c r="K463" s="3" t="s">
        <v>536</v>
      </c>
    </row>
    <row r="464" spans="1:11" x14ac:dyDescent="0.35">
      <c r="B464" s="5" t="s">
        <v>731</v>
      </c>
      <c r="C464" s="5" t="s">
        <v>732</v>
      </c>
      <c r="G464" s="78">
        <v>64</v>
      </c>
      <c r="H464" s="28" t="s">
        <v>749</v>
      </c>
      <c r="I464" s="31">
        <v>23</v>
      </c>
      <c r="J464" s="28" t="s">
        <v>565</v>
      </c>
      <c r="K464" s="29"/>
    </row>
    <row r="465" spans="2:11" x14ac:dyDescent="0.35">
      <c r="B465" s="5" t="s">
        <v>642</v>
      </c>
      <c r="C465" s="5" t="s">
        <v>660</v>
      </c>
      <c r="G465" s="78">
        <v>64</v>
      </c>
      <c r="H465" s="28" t="s">
        <v>749</v>
      </c>
      <c r="I465" s="31">
        <v>24</v>
      </c>
      <c r="J465" s="66" t="s">
        <v>413</v>
      </c>
      <c r="K465" s="29"/>
    </row>
    <row r="466" spans="2:11" x14ac:dyDescent="0.35">
      <c r="B466" s="5" t="s">
        <v>639</v>
      </c>
      <c r="C466" s="5" t="s">
        <v>657</v>
      </c>
      <c r="G466" s="78">
        <v>64</v>
      </c>
      <c r="H466" s="28" t="s">
        <v>749</v>
      </c>
      <c r="I466" s="31">
        <v>25</v>
      </c>
      <c r="J466" s="66" t="s">
        <v>414</v>
      </c>
      <c r="K466" s="29"/>
    </row>
    <row r="467" spans="2:11" x14ac:dyDescent="0.35">
      <c r="B467" s="5" t="s">
        <v>640</v>
      </c>
      <c r="C467" s="5" t="s">
        <v>658</v>
      </c>
      <c r="G467">
        <v>64</v>
      </c>
      <c r="H467" s="1" t="s">
        <v>724</v>
      </c>
      <c r="I467" s="18">
        <v>1</v>
      </c>
      <c r="J467" s="1" t="s">
        <v>483</v>
      </c>
      <c r="K467" s="3" t="s">
        <v>492</v>
      </c>
    </row>
    <row r="468" spans="2:11" x14ac:dyDescent="0.35">
      <c r="B468" s="5" t="s">
        <v>641</v>
      </c>
      <c r="C468" s="5" t="s">
        <v>659</v>
      </c>
      <c r="G468" s="78">
        <v>64</v>
      </c>
      <c r="H468" s="28" t="s">
        <v>725</v>
      </c>
      <c r="I468" s="27">
        <v>1</v>
      </c>
      <c r="J468" s="28" t="s">
        <v>483</v>
      </c>
      <c r="K468" s="29"/>
    </row>
    <row r="469" spans="2:11" x14ac:dyDescent="0.35">
      <c r="B469" s="5" t="s">
        <v>643</v>
      </c>
      <c r="C469" s="5" t="s">
        <v>661</v>
      </c>
      <c r="G469">
        <v>64</v>
      </c>
      <c r="H469" s="1" t="s">
        <v>726</v>
      </c>
      <c r="I469" s="18">
        <v>1</v>
      </c>
      <c r="J469" s="1" t="s">
        <v>565</v>
      </c>
      <c r="K469" s="3" t="s">
        <v>192</v>
      </c>
    </row>
    <row r="470" spans="2:11" ht="13.8" customHeight="1" x14ac:dyDescent="0.35">
      <c r="B470" s="5" t="s">
        <v>644</v>
      </c>
      <c r="C470" s="5" t="s">
        <v>662</v>
      </c>
      <c r="G470" s="78">
        <v>64</v>
      </c>
      <c r="H470" s="28" t="s">
        <v>727</v>
      </c>
      <c r="I470" s="27">
        <v>1</v>
      </c>
      <c r="J470" s="28" t="s">
        <v>565</v>
      </c>
      <c r="K470" s="29"/>
    </row>
    <row r="471" spans="2:11" ht="13.8" customHeight="1" x14ac:dyDescent="0.35">
      <c r="B471" s="5" t="s">
        <v>645</v>
      </c>
      <c r="C471" s="5" t="s">
        <v>663</v>
      </c>
      <c r="G471" s="1">
        <v>90</v>
      </c>
      <c r="H471" s="1" t="s">
        <v>748</v>
      </c>
      <c r="I471" s="7">
        <v>28</v>
      </c>
      <c r="J471" s="1" t="s">
        <v>566</v>
      </c>
      <c r="K471" s="3" t="s">
        <v>192</v>
      </c>
    </row>
    <row r="472" spans="2:11" ht="13.8" customHeight="1" x14ac:dyDescent="0.35">
      <c r="B472" s="5" t="s">
        <v>646</v>
      </c>
      <c r="C472" s="5" t="s">
        <v>664</v>
      </c>
      <c r="G472" s="1">
        <v>90</v>
      </c>
      <c r="H472" s="1" t="s">
        <v>748</v>
      </c>
      <c r="I472" s="7">
        <v>29</v>
      </c>
      <c r="J472" s="5" t="s">
        <v>431</v>
      </c>
      <c r="K472" s="3" t="s">
        <v>528</v>
      </c>
    </row>
    <row r="473" spans="2:11" ht="13.8" customHeight="1" x14ac:dyDescent="0.35">
      <c r="B473" s="5" t="s">
        <v>647</v>
      </c>
      <c r="C473" s="5" t="s">
        <v>665</v>
      </c>
      <c r="G473" s="1">
        <v>90</v>
      </c>
      <c r="H473" s="1" t="s">
        <v>748</v>
      </c>
      <c r="I473" s="7">
        <v>30</v>
      </c>
      <c r="J473" s="5" t="s">
        <v>432</v>
      </c>
      <c r="K473" s="3" t="s">
        <v>537</v>
      </c>
    </row>
    <row r="474" spans="2:11" x14ac:dyDescent="0.35">
      <c r="B474" s="5" t="s">
        <v>652</v>
      </c>
      <c r="C474" s="5" t="s">
        <v>666</v>
      </c>
      <c r="G474" s="28">
        <v>90</v>
      </c>
      <c r="H474" s="28" t="s">
        <v>749</v>
      </c>
      <c r="I474" s="31">
        <v>28</v>
      </c>
      <c r="J474" s="28" t="s">
        <v>566</v>
      </c>
      <c r="K474" s="29"/>
    </row>
    <row r="475" spans="2:11" x14ac:dyDescent="0.35">
      <c r="B475" s="5" t="s">
        <v>653</v>
      </c>
      <c r="C475" s="5" t="s">
        <v>667</v>
      </c>
      <c r="G475" s="28">
        <v>90</v>
      </c>
      <c r="H475" s="28" t="s">
        <v>749</v>
      </c>
      <c r="I475" s="31">
        <v>29</v>
      </c>
      <c r="J475" s="66" t="s">
        <v>431</v>
      </c>
      <c r="K475" s="29"/>
    </row>
    <row r="476" spans="2:11" x14ac:dyDescent="0.35">
      <c r="B476" s="5" t="s">
        <v>637</v>
      </c>
      <c r="C476" s="5" t="s">
        <v>655</v>
      </c>
      <c r="G476" s="28">
        <v>90</v>
      </c>
      <c r="H476" s="28" t="s">
        <v>749</v>
      </c>
      <c r="I476" s="31">
        <v>30</v>
      </c>
      <c r="J476" s="66" t="s">
        <v>432</v>
      </c>
      <c r="K476" s="29"/>
    </row>
    <row r="477" spans="2:11" x14ac:dyDescent="0.35">
      <c r="B477" s="5" t="s">
        <v>638</v>
      </c>
      <c r="C477" s="5" t="s">
        <v>656</v>
      </c>
      <c r="G477" s="1">
        <v>90</v>
      </c>
      <c r="H477" s="1" t="s">
        <v>724</v>
      </c>
      <c r="I477" s="18">
        <v>1</v>
      </c>
      <c r="J477" s="1" t="s">
        <v>567</v>
      </c>
      <c r="K477" s="3" t="s">
        <v>192</v>
      </c>
    </row>
    <row r="478" spans="2:11" x14ac:dyDescent="0.35">
      <c r="B478" s="32" t="s">
        <v>374</v>
      </c>
      <c r="C478" s="5" t="s">
        <v>375</v>
      </c>
      <c r="G478" s="28">
        <v>90</v>
      </c>
      <c r="H478" s="28" t="s">
        <v>725</v>
      </c>
      <c r="I478" s="27">
        <v>1</v>
      </c>
      <c r="J478" s="28" t="s">
        <v>567</v>
      </c>
      <c r="K478" s="29"/>
    </row>
    <row r="479" spans="2:11" x14ac:dyDescent="0.35">
      <c r="B479" s="32" t="s">
        <v>750</v>
      </c>
      <c r="C479" s="32" t="s">
        <v>753</v>
      </c>
      <c r="G479" s="1">
        <v>90</v>
      </c>
      <c r="H479" s="1" t="s">
        <v>726</v>
      </c>
      <c r="I479" s="18">
        <v>1</v>
      </c>
      <c r="J479" s="1" t="s">
        <v>565</v>
      </c>
    </row>
    <row r="480" spans="2:11" x14ac:dyDescent="0.35">
      <c r="B480" s="32" t="s">
        <v>760</v>
      </c>
      <c r="C480" s="32" t="s">
        <v>761</v>
      </c>
      <c r="G480" s="28">
        <v>90</v>
      </c>
      <c r="H480" s="28" t="s">
        <v>727</v>
      </c>
      <c r="I480" s="27">
        <v>1</v>
      </c>
      <c r="J480" s="28" t="s">
        <v>565</v>
      </c>
      <c r="K480" s="78"/>
    </row>
    <row r="481" spans="2:5" x14ac:dyDescent="0.35">
      <c r="B481" s="32" t="s">
        <v>751</v>
      </c>
      <c r="C481" s="32" t="s">
        <v>754</v>
      </c>
    </row>
    <row r="482" spans="2:5" x14ac:dyDescent="0.35">
      <c r="B482" s="32" t="s">
        <v>752</v>
      </c>
      <c r="C482" s="32" t="s">
        <v>755</v>
      </c>
    </row>
    <row r="483" spans="2:5" x14ac:dyDescent="0.3">
      <c r="B483" s="5" t="s">
        <v>758</v>
      </c>
      <c r="C483" s="5" t="s">
        <v>759</v>
      </c>
    </row>
    <row r="484" spans="2:5" x14ac:dyDescent="0.3">
      <c r="B484" s="5" t="s">
        <v>756</v>
      </c>
      <c r="C484" s="5" t="s">
        <v>757</v>
      </c>
    </row>
    <row r="485" spans="2:5" x14ac:dyDescent="0.35">
      <c r="B485" s="32"/>
    </row>
    <row r="486" spans="2:5" x14ac:dyDescent="0.35">
      <c r="B486" s="32" t="s">
        <v>763</v>
      </c>
    </row>
    <row r="487" spans="2:5" x14ac:dyDescent="0.3">
      <c r="B487" s="89" t="s">
        <v>654</v>
      </c>
      <c r="C487" s="90" t="s">
        <v>654</v>
      </c>
    </row>
    <row r="488" spans="2:5" x14ac:dyDescent="0.3">
      <c r="B488" s="89" t="s">
        <v>648</v>
      </c>
      <c r="C488" s="89" t="s">
        <v>648</v>
      </c>
    </row>
    <row r="489" spans="2:5" x14ac:dyDescent="0.3">
      <c r="B489" s="89" t="s">
        <v>649</v>
      </c>
      <c r="C489" s="89" t="s">
        <v>649</v>
      </c>
    </row>
    <row r="490" spans="2:5" x14ac:dyDescent="0.3">
      <c r="B490" s="89" t="s">
        <v>633</v>
      </c>
      <c r="C490" s="89" t="s">
        <v>633</v>
      </c>
      <c r="E490" s="19" t="s">
        <v>746</v>
      </c>
    </row>
    <row r="491" spans="2:5" x14ac:dyDescent="0.3">
      <c r="B491" s="89" t="s">
        <v>634</v>
      </c>
      <c r="C491" s="89" t="s">
        <v>634</v>
      </c>
      <c r="E491" s="19" t="s">
        <v>746</v>
      </c>
    </row>
    <row r="492" spans="2:5" x14ac:dyDescent="0.3">
      <c r="B492" s="89" t="s">
        <v>635</v>
      </c>
      <c r="C492" s="89" t="s">
        <v>635</v>
      </c>
      <c r="E492" s="19" t="s">
        <v>746</v>
      </c>
    </row>
    <row r="493" spans="2:5" x14ac:dyDescent="0.3">
      <c r="B493" s="89" t="s">
        <v>636</v>
      </c>
      <c r="C493" s="89" t="s">
        <v>636</v>
      </c>
      <c r="E493" s="19" t="s">
        <v>746</v>
      </c>
    </row>
    <row r="524" spans="5:5" x14ac:dyDescent="0.3">
      <c r="E524" s="25"/>
    </row>
  </sheetData>
  <mergeCells count="19">
    <mergeCell ref="A443:A444"/>
    <mergeCell ref="A446:A447"/>
    <mergeCell ref="A452:A453"/>
    <mergeCell ref="A454:A455"/>
    <mergeCell ref="A257:A262"/>
    <mergeCell ref="A133:A136"/>
    <mergeCell ref="A137:A140"/>
    <mergeCell ref="A141:A142"/>
    <mergeCell ref="A143:A148"/>
    <mergeCell ref="A149:A157"/>
    <mergeCell ref="A246:A250"/>
    <mergeCell ref="A251:A256"/>
    <mergeCell ref="A164:A169"/>
    <mergeCell ref="A158:A163"/>
    <mergeCell ref="A170:A178"/>
    <mergeCell ref="A179:A187"/>
    <mergeCell ref="A232:A235"/>
    <mergeCell ref="A236:A240"/>
    <mergeCell ref="A241:A245"/>
  </mergeCells>
  <phoneticPr fontId="11" type="noConversion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4"/>
  <dimension ref="B1:S87"/>
  <sheetViews>
    <sheetView zoomScale="70" zoomScaleNormal="70" workbookViewId="0">
      <selection activeCell="R97" sqref="R97"/>
    </sheetView>
  </sheetViews>
  <sheetFormatPr defaultColWidth="8.6640625" defaultRowHeight="15" x14ac:dyDescent="0.35"/>
  <cols>
    <col min="1" max="1" width="5.21875" style="1" customWidth="1"/>
    <col min="2" max="2" width="6.6640625" style="1" bestFit="1" customWidth="1"/>
    <col min="3" max="3" width="5.21875" style="1" bestFit="1" customWidth="1"/>
    <col min="4" max="4" width="13.77734375" style="1" bestFit="1" customWidth="1"/>
    <col min="5" max="5" width="11.5546875" style="1" bestFit="1" customWidth="1"/>
    <col min="6" max="6" width="16.77734375" style="1" bestFit="1" customWidth="1"/>
    <col min="7" max="7" width="9.6640625" style="1" bestFit="1" customWidth="1"/>
    <col min="8" max="8" width="8.44140625" style="1" bestFit="1" customWidth="1"/>
    <col min="9" max="9" width="6.77734375" style="1" bestFit="1" customWidth="1"/>
    <col min="10" max="11" width="5.21875" style="1" customWidth="1"/>
    <col min="12" max="12" width="13.44140625" style="1" bestFit="1" customWidth="1"/>
    <col min="13" max="13" width="4.6640625" style="2" bestFit="1" customWidth="1"/>
    <col min="14" max="14" width="89.77734375" style="1" customWidth="1"/>
    <col min="15" max="15" width="18.21875" style="3" bestFit="1" customWidth="1"/>
    <col min="16" max="16" width="7.44140625" style="1" bestFit="1" customWidth="1"/>
    <col min="17" max="17" width="9.33203125" style="1" bestFit="1" customWidth="1"/>
    <col min="18" max="18" width="13.88671875" style="43" bestFit="1" customWidth="1"/>
    <col min="19" max="19" width="15.5546875" style="43" bestFit="1" customWidth="1"/>
    <col min="20" max="16384" width="8.6640625" style="1"/>
  </cols>
  <sheetData>
    <row r="1" spans="2:19" ht="16.2" x14ac:dyDescent="0.35">
      <c r="B1" s="5" t="s">
        <v>493</v>
      </c>
      <c r="C1" s="5" t="s">
        <v>571</v>
      </c>
      <c r="D1" s="5" t="s">
        <v>569</v>
      </c>
      <c r="E1" s="5" t="s">
        <v>570</v>
      </c>
      <c r="F1" s="5" t="s">
        <v>581</v>
      </c>
      <c r="G1" s="5" t="s">
        <v>599</v>
      </c>
      <c r="H1" s="5" t="s">
        <v>600</v>
      </c>
      <c r="I1" s="5" t="s">
        <v>601</v>
      </c>
      <c r="N1" s="74" t="s">
        <v>0</v>
      </c>
    </row>
    <row r="2" spans="2:19" x14ac:dyDescent="0.35">
      <c r="M2" s="8" t="s">
        <v>1</v>
      </c>
      <c r="N2" s="9" t="s">
        <v>2</v>
      </c>
      <c r="O2" s="9" t="s">
        <v>3</v>
      </c>
      <c r="P2" s="9" t="s">
        <v>4</v>
      </c>
      <c r="Q2" s="9" t="s">
        <v>5</v>
      </c>
      <c r="R2" s="44" t="s">
        <v>737</v>
      </c>
      <c r="S2" s="44" t="s">
        <v>738</v>
      </c>
    </row>
    <row r="3" spans="2:19" x14ac:dyDescent="0.35">
      <c r="B3" s="1">
        <v>7</v>
      </c>
      <c r="C3" s="1" t="s">
        <v>698</v>
      </c>
      <c r="D3" s="1" t="s">
        <v>698</v>
      </c>
      <c r="E3" s="1" t="s">
        <v>698</v>
      </c>
      <c r="F3" s="1" t="s">
        <v>698</v>
      </c>
      <c r="G3" s="1" t="s">
        <v>698</v>
      </c>
      <c r="H3" s="1" t="s">
        <v>698</v>
      </c>
      <c r="I3" s="1" t="s">
        <v>698</v>
      </c>
      <c r="J3" s="1">
        <f>SUBTOTAL(103,B3)</f>
        <v>1</v>
      </c>
      <c r="L3" s="1" t="s">
        <v>723</v>
      </c>
      <c r="M3" s="7">
        <v>1</v>
      </c>
      <c r="N3" s="5" t="s">
        <v>6</v>
      </c>
      <c r="O3" s="3" t="s">
        <v>7</v>
      </c>
      <c r="P3" s="3" t="s">
        <v>14</v>
      </c>
      <c r="Q3" s="3">
        <v>1</v>
      </c>
      <c r="R3" s="43">
        <f>VLOOKUP('7'!O3,Malzemeler!C:D,2,0)</f>
        <v>1</v>
      </c>
      <c r="S3" s="43">
        <f>+R3*Q3</f>
        <v>1</v>
      </c>
    </row>
    <row r="4" spans="2:19" x14ac:dyDescent="0.35">
      <c r="B4" s="1">
        <v>7</v>
      </c>
      <c r="C4" s="1" t="s">
        <v>698</v>
      </c>
      <c r="D4" s="1" t="s">
        <v>698</v>
      </c>
      <c r="E4" s="1" t="s">
        <v>698</v>
      </c>
      <c r="F4" s="1" t="s">
        <v>698</v>
      </c>
      <c r="G4" s="1" t="s">
        <v>698</v>
      </c>
      <c r="H4" s="1" t="s">
        <v>698</v>
      </c>
      <c r="I4" s="1" t="s">
        <v>698</v>
      </c>
      <c r="J4" s="1">
        <f t="shared" ref="J4:J66" si="0">SUBTOTAL(103,B4)</f>
        <v>1</v>
      </c>
      <c r="L4" s="1" t="s">
        <v>723</v>
      </c>
      <c r="M4" s="7">
        <v>2</v>
      </c>
      <c r="N4" s="5" t="s">
        <v>8</v>
      </c>
      <c r="O4" s="3" t="s">
        <v>548</v>
      </c>
      <c r="P4" s="3" t="s">
        <v>14</v>
      </c>
      <c r="Q4" s="3">
        <v>1</v>
      </c>
      <c r="R4" s="43">
        <f>VLOOKUP('7'!O4,Malzemeler!C:D,2,0)</f>
        <v>39.920999999999999</v>
      </c>
      <c r="S4" s="43">
        <f t="shared" ref="S4:S66" si="1">+R4*Q4</f>
        <v>39.920999999999999</v>
      </c>
    </row>
    <row r="5" spans="2:19" x14ac:dyDescent="0.35">
      <c r="B5" s="1">
        <v>7</v>
      </c>
      <c r="C5" s="1" t="s">
        <v>698</v>
      </c>
      <c r="D5" s="1" t="s">
        <v>698</v>
      </c>
      <c r="E5" s="1" t="s">
        <v>698</v>
      </c>
      <c r="F5" s="1" t="s">
        <v>698</v>
      </c>
      <c r="G5" s="1" t="s">
        <v>698</v>
      </c>
      <c r="H5" s="1" t="s">
        <v>698</v>
      </c>
      <c r="I5" s="1" t="s">
        <v>698</v>
      </c>
      <c r="J5" s="1">
        <f t="shared" si="0"/>
        <v>1</v>
      </c>
      <c r="L5" s="1" t="s">
        <v>723</v>
      </c>
      <c r="M5" s="7">
        <v>3</v>
      </c>
      <c r="N5" s="5" t="s">
        <v>9</v>
      </c>
      <c r="O5" s="3" t="s">
        <v>10</v>
      </c>
      <c r="P5" s="3" t="s">
        <v>14</v>
      </c>
      <c r="Q5" s="3">
        <v>1</v>
      </c>
      <c r="R5" s="43">
        <f>VLOOKUP('7'!O5,Malzemeler!C:D,2,0)</f>
        <v>60</v>
      </c>
      <c r="S5" s="43">
        <f t="shared" si="1"/>
        <v>60</v>
      </c>
    </row>
    <row r="6" spans="2:19" x14ac:dyDescent="0.35">
      <c r="B6" s="1">
        <v>7</v>
      </c>
      <c r="C6" s="1" t="s">
        <v>698</v>
      </c>
      <c r="D6" s="1" t="s">
        <v>698</v>
      </c>
      <c r="E6" s="1" t="s">
        <v>698</v>
      </c>
      <c r="F6" s="1" t="s">
        <v>698</v>
      </c>
      <c r="G6" s="1" t="s">
        <v>698</v>
      </c>
      <c r="H6" s="1" t="s">
        <v>698</v>
      </c>
      <c r="I6" s="1" t="s">
        <v>698</v>
      </c>
      <c r="J6" s="1">
        <f t="shared" si="0"/>
        <v>1</v>
      </c>
      <c r="L6" s="1" t="s">
        <v>723</v>
      </c>
      <c r="M6" s="7">
        <v>4</v>
      </c>
      <c r="N6" s="5" t="s">
        <v>11</v>
      </c>
      <c r="O6" s="3" t="s">
        <v>12</v>
      </c>
      <c r="P6" s="3" t="s">
        <v>14</v>
      </c>
      <c r="Q6" s="3">
        <v>1</v>
      </c>
      <c r="R6" s="43">
        <f>VLOOKUP('7'!O6,Malzemeler!C:D,2,0)</f>
        <v>12.8</v>
      </c>
      <c r="S6" s="43">
        <f t="shared" si="1"/>
        <v>12.8</v>
      </c>
    </row>
    <row r="7" spans="2:19" x14ac:dyDescent="0.35">
      <c r="B7" s="1">
        <v>7</v>
      </c>
      <c r="C7" s="1" t="s">
        <v>698</v>
      </c>
      <c r="D7" s="1" t="s">
        <v>698</v>
      </c>
      <c r="E7" s="1" t="s">
        <v>698</v>
      </c>
      <c r="F7" s="1" t="s">
        <v>698</v>
      </c>
      <c r="G7" s="1" t="s">
        <v>698</v>
      </c>
      <c r="H7" s="1" t="s">
        <v>698</v>
      </c>
      <c r="I7" s="1" t="s">
        <v>698</v>
      </c>
      <c r="J7" s="1">
        <f t="shared" si="0"/>
        <v>1</v>
      </c>
      <c r="L7" s="1" t="s">
        <v>723</v>
      </c>
      <c r="M7" s="7">
        <v>5</v>
      </c>
      <c r="N7" s="5" t="s">
        <v>13</v>
      </c>
      <c r="O7" s="3" t="s">
        <v>499</v>
      </c>
      <c r="P7" s="3" t="s">
        <v>14</v>
      </c>
      <c r="Q7" s="3">
        <v>4</v>
      </c>
      <c r="R7" s="43">
        <f>VLOOKUP('7'!O7,Malzemeler!C:D,2,0)</f>
        <v>13.05</v>
      </c>
      <c r="S7" s="43">
        <f t="shared" si="1"/>
        <v>52.2</v>
      </c>
    </row>
    <row r="8" spans="2:19" x14ac:dyDescent="0.35">
      <c r="B8" s="1">
        <v>7</v>
      </c>
      <c r="C8" s="1" t="s">
        <v>698</v>
      </c>
      <c r="D8" s="1" t="s">
        <v>698</v>
      </c>
      <c r="E8" s="1" t="s">
        <v>698</v>
      </c>
      <c r="F8" s="1" t="s">
        <v>698</v>
      </c>
      <c r="G8" s="1" t="s">
        <v>698</v>
      </c>
      <c r="H8" s="1" t="s">
        <v>698</v>
      </c>
      <c r="I8" s="1" t="s">
        <v>698</v>
      </c>
      <c r="J8" s="1">
        <f t="shared" si="0"/>
        <v>1</v>
      </c>
      <c r="L8" s="1" t="s">
        <v>723</v>
      </c>
      <c r="M8" s="7">
        <v>6</v>
      </c>
      <c r="N8" s="5" t="s">
        <v>15</v>
      </c>
      <c r="O8" s="3" t="s">
        <v>502</v>
      </c>
      <c r="P8" s="3" t="s">
        <v>14</v>
      </c>
      <c r="Q8" s="3">
        <v>1</v>
      </c>
      <c r="R8" s="43">
        <f>VLOOKUP('7'!O8,Malzemeler!C:D,2,0)</f>
        <v>10.15</v>
      </c>
      <c r="S8" s="43">
        <f t="shared" si="1"/>
        <v>10.15</v>
      </c>
    </row>
    <row r="9" spans="2:19" x14ac:dyDescent="0.35">
      <c r="B9" s="1">
        <v>7</v>
      </c>
      <c r="C9" s="1" t="s">
        <v>698</v>
      </c>
      <c r="D9" s="1" t="s">
        <v>698</v>
      </c>
      <c r="E9" s="1" t="s">
        <v>698</v>
      </c>
      <c r="F9" s="1" t="s">
        <v>698</v>
      </c>
      <c r="G9" s="1" t="s">
        <v>698</v>
      </c>
      <c r="H9" s="1" t="s">
        <v>698</v>
      </c>
      <c r="I9" s="1" t="s">
        <v>698</v>
      </c>
      <c r="J9" s="1">
        <f t="shared" si="0"/>
        <v>1</v>
      </c>
      <c r="L9" s="1" t="s">
        <v>723</v>
      </c>
      <c r="M9" s="7">
        <v>7</v>
      </c>
      <c r="N9" s="5" t="s">
        <v>16</v>
      </c>
      <c r="O9" s="3" t="s">
        <v>509</v>
      </c>
      <c r="P9" s="3" t="s">
        <v>14</v>
      </c>
      <c r="Q9" s="3">
        <v>1</v>
      </c>
      <c r="R9" s="43">
        <f>VLOOKUP('7'!O9,Malzemeler!C:D,2,0)</f>
        <v>9.5</v>
      </c>
      <c r="S9" s="43">
        <f t="shared" si="1"/>
        <v>9.5</v>
      </c>
    </row>
    <row r="10" spans="2:19" x14ac:dyDescent="0.35">
      <c r="B10" s="1">
        <v>7</v>
      </c>
      <c r="C10" s="1" t="s">
        <v>698</v>
      </c>
      <c r="D10" s="1" t="s">
        <v>698</v>
      </c>
      <c r="E10" s="1" t="s">
        <v>698</v>
      </c>
      <c r="F10" s="1" t="s">
        <v>698</v>
      </c>
      <c r="G10" s="1" t="s">
        <v>698</v>
      </c>
      <c r="H10" s="1" t="s">
        <v>698</v>
      </c>
      <c r="I10" s="1" t="s">
        <v>698</v>
      </c>
      <c r="J10" s="1">
        <f t="shared" si="0"/>
        <v>1</v>
      </c>
      <c r="L10" s="1" t="s">
        <v>723</v>
      </c>
      <c r="M10" s="7">
        <v>8</v>
      </c>
      <c r="N10" s="5" t="s">
        <v>17</v>
      </c>
      <c r="O10" s="3" t="s">
        <v>515</v>
      </c>
      <c r="P10" s="3" t="s">
        <v>14</v>
      </c>
      <c r="Q10" s="3">
        <v>1</v>
      </c>
      <c r="R10" s="43">
        <f>VLOOKUP('7'!O10,Malzemeler!C:D,2,0)</f>
        <v>18</v>
      </c>
      <c r="S10" s="43">
        <f t="shared" si="1"/>
        <v>18</v>
      </c>
    </row>
    <row r="11" spans="2:19" x14ac:dyDescent="0.35">
      <c r="B11" s="1">
        <v>7</v>
      </c>
      <c r="C11" s="1" t="s">
        <v>698</v>
      </c>
      <c r="D11" s="1" t="s">
        <v>698</v>
      </c>
      <c r="E11" s="1" t="s">
        <v>698</v>
      </c>
      <c r="F11" s="1" t="s">
        <v>698</v>
      </c>
      <c r="G11" s="1" t="s">
        <v>698</v>
      </c>
      <c r="H11" s="1" t="s">
        <v>698</v>
      </c>
      <c r="I11" s="1" t="s">
        <v>698</v>
      </c>
      <c r="J11" s="1">
        <f t="shared" si="0"/>
        <v>1</v>
      </c>
      <c r="L11" s="1" t="s">
        <v>723</v>
      </c>
      <c r="M11" s="7">
        <v>9</v>
      </c>
      <c r="N11" s="5" t="s">
        <v>614</v>
      </c>
      <c r="O11" s="3" t="s">
        <v>619</v>
      </c>
      <c r="P11" s="3" t="s">
        <v>14</v>
      </c>
      <c r="Q11" s="3">
        <v>1</v>
      </c>
      <c r="R11" s="43">
        <f>VLOOKUP('7'!O11,Malzemeler!C:D,2,0)</f>
        <v>0</v>
      </c>
      <c r="S11" s="43">
        <f t="shared" si="1"/>
        <v>0</v>
      </c>
    </row>
    <row r="12" spans="2:19" x14ac:dyDescent="0.35">
      <c r="B12" s="1">
        <v>7</v>
      </c>
      <c r="C12" s="1" t="s">
        <v>698</v>
      </c>
      <c r="D12" s="1" t="s">
        <v>698</v>
      </c>
      <c r="E12" s="1" t="s">
        <v>698</v>
      </c>
      <c r="F12" s="1" t="s">
        <v>698</v>
      </c>
      <c r="G12" s="1" t="s">
        <v>698</v>
      </c>
      <c r="H12" s="1" t="s">
        <v>698</v>
      </c>
      <c r="I12" s="1" t="s">
        <v>698</v>
      </c>
      <c r="J12" s="1">
        <f t="shared" si="0"/>
        <v>1</v>
      </c>
      <c r="L12" s="1" t="s">
        <v>723</v>
      </c>
      <c r="M12" s="7">
        <v>10</v>
      </c>
      <c r="N12" s="5" t="s">
        <v>617</v>
      </c>
      <c r="O12" s="3" t="s">
        <v>622</v>
      </c>
      <c r="P12" s="3" t="s">
        <v>14</v>
      </c>
      <c r="Q12" s="3">
        <v>1</v>
      </c>
      <c r="R12" s="43">
        <f>VLOOKUP('7'!O12,Malzemeler!C:D,2,0)</f>
        <v>0</v>
      </c>
      <c r="S12" s="43">
        <f t="shared" si="1"/>
        <v>0</v>
      </c>
    </row>
    <row r="13" spans="2:19" x14ac:dyDescent="0.35">
      <c r="B13" s="1">
        <v>7</v>
      </c>
      <c r="C13" s="1" t="s">
        <v>698</v>
      </c>
      <c r="D13" s="1" t="s">
        <v>698</v>
      </c>
      <c r="E13" s="1" t="s">
        <v>698</v>
      </c>
      <c r="F13" s="1" t="s">
        <v>698</v>
      </c>
      <c r="G13" s="1" t="s">
        <v>698</v>
      </c>
      <c r="H13" s="1" t="s">
        <v>698</v>
      </c>
      <c r="I13" s="1" t="s">
        <v>698</v>
      </c>
      <c r="J13" s="1">
        <f t="shared" si="0"/>
        <v>1</v>
      </c>
      <c r="L13" s="1" t="s">
        <v>723</v>
      </c>
      <c r="M13" s="7">
        <v>11</v>
      </c>
      <c r="N13" s="5" t="s">
        <v>62</v>
      </c>
      <c r="O13" s="3" t="s">
        <v>73</v>
      </c>
      <c r="P13" s="3" t="s">
        <v>14</v>
      </c>
      <c r="Q13" s="3">
        <v>4</v>
      </c>
      <c r="R13" s="43">
        <f>VLOOKUP('7'!O13,Malzemeler!C:D,2,0)</f>
        <v>9.65</v>
      </c>
      <c r="S13" s="43">
        <f t="shared" si="1"/>
        <v>38.6</v>
      </c>
    </row>
    <row r="14" spans="2:19" x14ac:dyDescent="0.35">
      <c r="B14" s="1">
        <v>7</v>
      </c>
      <c r="C14" s="1" t="s">
        <v>698</v>
      </c>
      <c r="D14" s="1" t="s">
        <v>698</v>
      </c>
      <c r="E14" s="1" t="s">
        <v>698</v>
      </c>
      <c r="F14" s="1" t="s">
        <v>698</v>
      </c>
      <c r="G14" s="1" t="s">
        <v>698</v>
      </c>
      <c r="H14" s="1" t="s">
        <v>698</v>
      </c>
      <c r="I14" s="1" t="s">
        <v>698</v>
      </c>
      <c r="J14" s="1">
        <f t="shared" si="0"/>
        <v>1</v>
      </c>
      <c r="L14" s="1" t="s">
        <v>723</v>
      </c>
      <c r="M14" s="7">
        <v>12</v>
      </c>
      <c r="N14" s="5" t="s">
        <v>582</v>
      </c>
      <c r="O14" s="3" t="s">
        <v>583</v>
      </c>
      <c r="P14" s="3" t="s">
        <v>14</v>
      </c>
      <c r="Q14" s="3">
        <v>3.5</v>
      </c>
      <c r="R14" s="43">
        <f>VLOOKUP('7'!O14,Malzemeler!C:D,2,0)</f>
        <v>4.6500000000000004</v>
      </c>
      <c r="S14" s="43">
        <f t="shared" si="1"/>
        <v>16.275000000000002</v>
      </c>
    </row>
    <row r="15" spans="2:19" x14ac:dyDescent="0.35">
      <c r="B15" s="1">
        <v>7</v>
      </c>
      <c r="C15" s="1" t="s">
        <v>698</v>
      </c>
      <c r="D15" s="1" t="s">
        <v>698</v>
      </c>
      <c r="E15" s="1" t="s">
        <v>698</v>
      </c>
      <c r="F15" s="1" t="s">
        <v>698</v>
      </c>
      <c r="G15" s="1" t="s">
        <v>698</v>
      </c>
      <c r="H15" s="1" t="s">
        <v>698</v>
      </c>
      <c r="I15" s="1" t="s">
        <v>698</v>
      </c>
      <c r="J15" s="1">
        <f t="shared" si="0"/>
        <v>1</v>
      </c>
      <c r="L15" s="1" t="s">
        <v>723</v>
      </c>
      <c r="M15" s="7">
        <v>13</v>
      </c>
      <c r="N15" s="5" t="s">
        <v>64</v>
      </c>
      <c r="O15" s="3" t="s">
        <v>76</v>
      </c>
      <c r="P15" s="3" t="s">
        <v>14</v>
      </c>
      <c r="Q15" s="3">
        <v>2</v>
      </c>
      <c r="R15" s="43">
        <f>VLOOKUP('7'!O15,Malzemeler!C:D,2,0)</f>
        <v>0.4</v>
      </c>
      <c r="S15" s="43">
        <f t="shared" si="1"/>
        <v>0.8</v>
      </c>
    </row>
    <row r="16" spans="2:19" x14ac:dyDescent="0.35">
      <c r="B16" s="1">
        <v>7</v>
      </c>
      <c r="C16" s="1" t="s">
        <v>698</v>
      </c>
      <c r="D16" s="1" t="s">
        <v>698</v>
      </c>
      <c r="E16" s="1" t="s">
        <v>698</v>
      </c>
      <c r="F16" s="1" t="s">
        <v>698</v>
      </c>
      <c r="G16" s="1" t="s">
        <v>698</v>
      </c>
      <c r="H16" s="1" t="s">
        <v>698</v>
      </c>
      <c r="I16" s="1" t="s">
        <v>698</v>
      </c>
      <c r="J16" s="1">
        <f t="shared" si="0"/>
        <v>1</v>
      </c>
      <c r="L16" s="1" t="s">
        <v>723</v>
      </c>
      <c r="M16" s="7">
        <v>14</v>
      </c>
      <c r="N16" s="5" t="s">
        <v>67</v>
      </c>
      <c r="O16" s="3" t="s">
        <v>79</v>
      </c>
      <c r="P16" s="3" t="s">
        <v>14</v>
      </c>
      <c r="Q16" s="3">
        <v>2</v>
      </c>
      <c r="R16" s="43">
        <f>VLOOKUP('7'!O16,Malzemeler!C:D,2,0)</f>
        <v>0.3</v>
      </c>
      <c r="S16" s="43">
        <f t="shared" si="1"/>
        <v>0.6</v>
      </c>
    </row>
    <row r="17" spans="2:19" x14ac:dyDescent="0.35">
      <c r="B17" s="1">
        <v>7</v>
      </c>
      <c r="C17" s="1" t="s">
        <v>698</v>
      </c>
      <c r="D17" s="1" t="s">
        <v>698</v>
      </c>
      <c r="E17" s="1" t="s">
        <v>698</v>
      </c>
      <c r="F17" s="1" t="s">
        <v>698</v>
      </c>
      <c r="G17" s="1" t="s">
        <v>698</v>
      </c>
      <c r="H17" s="1" t="s">
        <v>698</v>
      </c>
      <c r="I17" s="1" t="s">
        <v>698</v>
      </c>
      <c r="J17" s="1">
        <f t="shared" si="0"/>
        <v>1</v>
      </c>
      <c r="L17" s="1" t="s">
        <v>723</v>
      </c>
      <c r="M17" s="7">
        <v>15</v>
      </c>
      <c r="N17" s="5" t="s">
        <v>70</v>
      </c>
      <c r="O17" s="3" t="s">
        <v>82</v>
      </c>
      <c r="P17" s="3" t="s">
        <v>14</v>
      </c>
      <c r="Q17" s="3">
        <v>2</v>
      </c>
      <c r="R17" s="43">
        <f>VLOOKUP('7'!O17,Malzemeler!C:D,2,0)</f>
        <v>6.35</v>
      </c>
      <c r="S17" s="43">
        <f t="shared" si="1"/>
        <v>12.7</v>
      </c>
    </row>
    <row r="18" spans="2:19" x14ac:dyDescent="0.35">
      <c r="B18" s="1">
        <v>7</v>
      </c>
      <c r="C18" s="1" t="s">
        <v>698</v>
      </c>
      <c r="D18" s="1" t="s">
        <v>698</v>
      </c>
      <c r="E18" s="1" t="s">
        <v>698</v>
      </c>
      <c r="F18" s="1" t="s">
        <v>698</v>
      </c>
      <c r="G18" s="1" t="s">
        <v>698</v>
      </c>
      <c r="H18" s="1" t="s">
        <v>698</v>
      </c>
      <c r="I18" s="1" t="s">
        <v>698</v>
      </c>
      <c r="J18" s="1">
        <f t="shared" si="0"/>
        <v>1</v>
      </c>
      <c r="L18" s="1" t="s">
        <v>723</v>
      </c>
      <c r="M18" s="7">
        <v>16</v>
      </c>
      <c r="N18" s="5" t="s">
        <v>71</v>
      </c>
      <c r="O18" s="3" t="s">
        <v>83</v>
      </c>
      <c r="P18" s="3" t="s">
        <v>14</v>
      </c>
      <c r="Q18" s="3">
        <v>4</v>
      </c>
      <c r="R18" s="43">
        <f>VLOOKUP('7'!O18,Malzemeler!C:D,2,0)</f>
        <v>2.5</v>
      </c>
      <c r="S18" s="43">
        <f t="shared" si="1"/>
        <v>10</v>
      </c>
    </row>
    <row r="19" spans="2:19" x14ac:dyDescent="0.35">
      <c r="B19" s="1">
        <v>7</v>
      </c>
      <c r="C19" s="1" t="s">
        <v>698</v>
      </c>
      <c r="D19" s="1" t="s">
        <v>698</v>
      </c>
      <c r="E19" s="1" t="s">
        <v>698</v>
      </c>
      <c r="F19" s="1" t="s">
        <v>698</v>
      </c>
      <c r="G19" s="1" t="s">
        <v>698</v>
      </c>
      <c r="H19" s="1" t="s">
        <v>698</v>
      </c>
      <c r="I19" s="1" t="s">
        <v>698</v>
      </c>
      <c r="J19" s="1">
        <f t="shared" si="0"/>
        <v>1</v>
      </c>
      <c r="L19" s="1" t="s">
        <v>723</v>
      </c>
      <c r="M19" s="7">
        <v>17</v>
      </c>
      <c r="N19" s="5" t="s">
        <v>72</v>
      </c>
      <c r="O19" s="3" t="s">
        <v>84</v>
      </c>
      <c r="P19" s="3" t="s">
        <v>14</v>
      </c>
      <c r="Q19" s="3">
        <v>2</v>
      </c>
      <c r="R19" s="43">
        <f>VLOOKUP('7'!O19,Malzemeler!C:D,2,0)</f>
        <v>7.85</v>
      </c>
      <c r="S19" s="43">
        <f t="shared" si="1"/>
        <v>15.7</v>
      </c>
    </row>
    <row r="20" spans="2:19" x14ac:dyDescent="0.35">
      <c r="B20" s="1">
        <v>7</v>
      </c>
      <c r="C20" s="1" t="s">
        <v>698</v>
      </c>
      <c r="D20" s="1" t="s">
        <v>698</v>
      </c>
      <c r="E20" s="1" t="s">
        <v>698</v>
      </c>
      <c r="F20" s="1" t="s">
        <v>698</v>
      </c>
      <c r="G20" s="1" t="s">
        <v>698</v>
      </c>
      <c r="H20" s="1" t="s">
        <v>698</v>
      </c>
      <c r="I20" s="1" t="s">
        <v>698</v>
      </c>
      <c r="J20" s="1">
        <f t="shared" si="0"/>
        <v>1</v>
      </c>
      <c r="L20" s="1" t="s">
        <v>723</v>
      </c>
      <c r="M20" s="7">
        <v>18</v>
      </c>
      <c r="N20" s="5" t="s">
        <v>68</v>
      </c>
      <c r="O20" s="3" t="s">
        <v>80</v>
      </c>
      <c r="P20" s="3" t="s">
        <v>14</v>
      </c>
      <c r="Q20" s="3">
        <v>2</v>
      </c>
      <c r="R20" s="43">
        <f>VLOOKUP('7'!O20,Malzemeler!C:D,2,0)</f>
        <v>0</v>
      </c>
      <c r="S20" s="43">
        <f t="shared" si="1"/>
        <v>0</v>
      </c>
    </row>
    <row r="21" spans="2:19" x14ac:dyDescent="0.35">
      <c r="B21" s="1">
        <v>7</v>
      </c>
      <c r="C21" s="1" t="s">
        <v>698</v>
      </c>
      <c r="D21" s="1" t="s">
        <v>698</v>
      </c>
      <c r="E21" s="1" t="s">
        <v>698</v>
      </c>
      <c r="F21" s="1" t="s">
        <v>698</v>
      </c>
      <c r="G21" s="1" t="s">
        <v>698</v>
      </c>
      <c r="H21" s="1" t="s">
        <v>698</v>
      </c>
      <c r="I21" s="1" t="s">
        <v>698</v>
      </c>
      <c r="J21" s="1">
        <f t="shared" si="0"/>
        <v>1</v>
      </c>
      <c r="L21" s="1" t="s">
        <v>723</v>
      </c>
      <c r="M21" s="7">
        <v>19</v>
      </c>
      <c r="N21" s="5" t="s">
        <v>86</v>
      </c>
      <c r="O21" s="3" t="s">
        <v>85</v>
      </c>
      <c r="P21" s="3" t="s">
        <v>14</v>
      </c>
      <c r="Q21" s="2">
        <v>2</v>
      </c>
      <c r="R21" s="43">
        <f>VLOOKUP('7'!O21,Malzemeler!C:D,2,0)</f>
        <v>0.4</v>
      </c>
      <c r="S21" s="43">
        <f t="shared" si="1"/>
        <v>0.8</v>
      </c>
    </row>
    <row r="22" spans="2:19" x14ac:dyDescent="0.35">
      <c r="B22" s="1">
        <v>7</v>
      </c>
      <c r="C22" s="1" t="s">
        <v>698</v>
      </c>
      <c r="D22" s="1" t="s">
        <v>698</v>
      </c>
      <c r="E22" s="1" t="s">
        <v>698</v>
      </c>
      <c r="F22" s="1" t="s">
        <v>698</v>
      </c>
      <c r="G22" s="1" t="s">
        <v>698</v>
      </c>
      <c r="H22" s="1" t="s">
        <v>698</v>
      </c>
      <c r="I22" s="1" t="s">
        <v>698</v>
      </c>
      <c r="J22" s="1">
        <f t="shared" si="0"/>
        <v>1</v>
      </c>
      <c r="L22" s="1" t="s">
        <v>723</v>
      </c>
      <c r="M22" s="7">
        <v>20</v>
      </c>
      <c r="N22" s="5" t="s">
        <v>87</v>
      </c>
      <c r="O22" s="3" t="s">
        <v>88</v>
      </c>
      <c r="P22" s="3" t="s">
        <v>14</v>
      </c>
      <c r="Q22" s="2">
        <v>0.1</v>
      </c>
      <c r="R22" s="43">
        <f>VLOOKUP('7'!O22,Malzemeler!C:D,2,0)</f>
        <v>1615.6</v>
      </c>
      <c r="S22" s="43">
        <f t="shared" si="1"/>
        <v>161.56</v>
      </c>
    </row>
    <row r="23" spans="2:19" x14ac:dyDescent="0.35">
      <c r="B23" s="1">
        <v>7</v>
      </c>
      <c r="C23" s="1" t="s">
        <v>698</v>
      </c>
      <c r="D23" s="1" t="s">
        <v>698</v>
      </c>
      <c r="E23" s="1" t="s">
        <v>698</v>
      </c>
      <c r="F23" s="1" t="s">
        <v>698</v>
      </c>
      <c r="G23" s="1" t="s">
        <v>698</v>
      </c>
      <c r="H23" s="1" t="s">
        <v>698</v>
      </c>
      <c r="I23" s="1" t="s">
        <v>698</v>
      </c>
      <c r="J23" s="1">
        <f t="shared" si="0"/>
        <v>1</v>
      </c>
      <c r="L23" s="1" t="s">
        <v>723</v>
      </c>
      <c r="M23" s="7">
        <v>21</v>
      </c>
      <c r="N23" s="5" t="s">
        <v>69</v>
      </c>
      <c r="O23" s="3" t="s">
        <v>81</v>
      </c>
      <c r="P23" s="3" t="s">
        <v>14</v>
      </c>
      <c r="Q23" s="2">
        <v>0.2</v>
      </c>
      <c r="R23" s="43">
        <f>VLOOKUP('7'!O23,Malzemeler!C:D,2,0)</f>
        <v>40</v>
      </c>
      <c r="S23" s="43">
        <f t="shared" si="1"/>
        <v>8</v>
      </c>
    </row>
    <row r="24" spans="2:19" x14ac:dyDescent="0.35">
      <c r="B24" s="1">
        <v>7</v>
      </c>
      <c r="C24" s="1" t="s">
        <v>698</v>
      </c>
      <c r="D24" s="1" t="s">
        <v>698</v>
      </c>
      <c r="E24" s="1" t="s">
        <v>698</v>
      </c>
      <c r="F24" s="1" t="s">
        <v>698</v>
      </c>
      <c r="G24" s="1" t="s">
        <v>698</v>
      </c>
      <c r="H24" s="1" t="s">
        <v>698</v>
      </c>
      <c r="I24" s="1" t="s">
        <v>698</v>
      </c>
      <c r="J24" s="1">
        <f t="shared" si="0"/>
        <v>1</v>
      </c>
      <c r="L24" s="1" t="s">
        <v>723</v>
      </c>
      <c r="M24" s="7">
        <v>22</v>
      </c>
      <c r="N24" s="5" t="s">
        <v>89</v>
      </c>
      <c r="O24" s="3" t="s">
        <v>75</v>
      </c>
      <c r="P24" s="3" t="s">
        <v>14</v>
      </c>
      <c r="Q24" s="2">
        <v>0.1</v>
      </c>
      <c r="R24" s="43">
        <f>VLOOKUP('7'!O24,Malzemeler!C:D,2,0)</f>
        <v>150</v>
      </c>
      <c r="S24" s="43">
        <f t="shared" si="1"/>
        <v>15</v>
      </c>
    </row>
    <row r="25" spans="2:19" x14ac:dyDescent="0.35">
      <c r="B25" s="1">
        <v>7</v>
      </c>
      <c r="C25" s="1" t="s">
        <v>698</v>
      </c>
      <c r="D25" s="1" t="s">
        <v>698</v>
      </c>
      <c r="E25" s="1" t="s">
        <v>698</v>
      </c>
      <c r="F25" s="1" t="s">
        <v>698</v>
      </c>
      <c r="G25" s="1" t="s">
        <v>698</v>
      </c>
      <c r="H25" s="1" t="s">
        <v>698</v>
      </c>
      <c r="I25" s="1" t="s">
        <v>698</v>
      </c>
      <c r="J25" s="1">
        <f t="shared" si="0"/>
        <v>1</v>
      </c>
      <c r="L25" s="1" t="s">
        <v>723</v>
      </c>
      <c r="M25" s="7">
        <v>23</v>
      </c>
      <c r="N25" s="5" t="s">
        <v>66</v>
      </c>
      <c r="O25" s="3" t="s">
        <v>78</v>
      </c>
      <c r="P25" s="3" t="s">
        <v>14</v>
      </c>
      <c r="Q25" s="3">
        <v>0.8</v>
      </c>
      <c r="R25" s="43">
        <f>VLOOKUP('7'!O25,Malzemeler!C:D,2,0)</f>
        <v>30</v>
      </c>
      <c r="S25" s="43">
        <f t="shared" si="1"/>
        <v>24</v>
      </c>
    </row>
    <row r="26" spans="2:19" x14ac:dyDescent="0.35">
      <c r="B26" s="1">
        <v>7</v>
      </c>
      <c r="C26" s="1" t="s">
        <v>698</v>
      </c>
      <c r="D26" s="1" t="s">
        <v>698</v>
      </c>
      <c r="E26" s="1" t="s">
        <v>698</v>
      </c>
      <c r="F26" s="1" t="s">
        <v>698</v>
      </c>
      <c r="G26" s="1" t="s">
        <v>698</v>
      </c>
      <c r="H26" s="1" t="s">
        <v>698</v>
      </c>
      <c r="I26" s="1" t="s">
        <v>698</v>
      </c>
      <c r="J26" s="1">
        <f t="shared" si="0"/>
        <v>1</v>
      </c>
      <c r="L26" s="1" t="s">
        <v>723</v>
      </c>
      <c r="M26" s="7">
        <v>24</v>
      </c>
      <c r="N26" s="5" t="s">
        <v>65</v>
      </c>
      <c r="O26" s="3" t="s">
        <v>77</v>
      </c>
      <c r="P26" s="3" t="s">
        <v>14</v>
      </c>
      <c r="Q26" s="2">
        <v>1</v>
      </c>
      <c r="R26" s="43">
        <f>VLOOKUP('7'!O26,Malzemeler!C:D,2,0)</f>
        <v>150</v>
      </c>
      <c r="S26" s="43">
        <f t="shared" si="1"/>
        <v>150</v>
      </c>
    </row>
    <row r="27" spans="2:19" x14ac:dyDescent="0.35">
      <c r="B27" s="1">
        <v>7</v>
      </c>
      <c r="C27" s="1" t="s">
        <v>698</v>
      </c>
      <c r="D27" s="1" t="s">
        <v>698</v>
      </c>
      <c r="E27" s="1" t="s">
        <v>698</v>
      </c>
      <c r="F27" s="1" t="s">
        <v>698</v>
      </c>
      <c r="G27" s="1" t="s">
        <v>698</v>
      </c>
      <c r="H27" s="1" t="s">
        <v>698</v>
      </c>
      <c r="I27" s="1" t="s">
        <v>698</v>
      </c>
      <c r="J27" s="1">
        <f t="shared" si="0"/>
        <v>1</v>
      </c>
      <c r="L27" s="1" t="s">
        <v>723</v>
      </c>
      <c r="M27" s="7">
        <v>25</v>
      </c>
      <c r="N27" s="5" t="s">
        <v>61</v>
      </c>
      <c r="O27" s="3" t="s">
        <v>547</v>
      </c>
      <c r="P27" s="3" t="s">
        <v>14</v>
      </c>
      <c r="Q27" s="3">
        <v>1</v>
      </c>
      <c r="R27" s="43">
        <f>VLOOKUP('7'!O27,Malzemeler!C:D,2,0)</f>
        <v>342</v>
      </c>
      <c r="S27" s="43">
        <f t="shared" si="1"/>
        <v>342</v>
      </c>
    </row>
    <row r="28" spans="2:19" x14ac:dyDescent="0.35">
      <c r="B28" s="1">
        <v>7</v>
      </c>
      <c r="C28" s="1" t="s">
        <v>698</v>
      </c>
      <c r="D28" s="1" t="s">
        <v>698</v>
      </c>
      <c r="E28" s="1" t="s">
        <v>698</v>
      </c>
      <c r="F28" s="1" t="s">
        <v>698</v>
      </c>
      <c r="G28" s="1" t="s">
        <v>698</v>
      </c>
      <c r="H28" s="1" t="s">
        <v>698</v>
      </c>
      <c r="I28" s="1" t="s">
        <v>698</v>
      </c>
      <c r="J28" s="1">
        <f t="shared" si="0"/>
        <v>1</v>
      </c>
      <c r="L28" s="1" t="s">
        <v>723</v>
      </c>
      <c r="M28" s="7">
        <v>26</v>
      </c>
      <c r="N28" s="5" t="s">
        <v>61</v>
      </c>
      <c r="O28" s="3" t="s">
        <v>547</v>
      </c>
      <c r="P28" s="3" t="s">
        <v>14</v>
      </c>
      <c r="Q28" s="3">
        <v>1</v>
      </c>
      <c r="R28" s="43">
        <f>VLOOKUP('7'!O28,Malzemeler!C:D,2,0)</f>
        <v>342</v>
      </c>
      <c r="S28" s="43">
        <f t="shared" si="1"/>
        <v>342</v>
      </c>
    </row>
    <row r="29" spans="2:19" x14ac:dyDescent="0.35">
      <c r="B29" s="1">
        <v>7</v>
      </c>
      <c r="C29" s="1" t="s">
        <v>698</v>
      </c>
      <c r="D29" s="1" t="s">
        <v>698</v>
      </c>
      <c r="E29" s="1" t="s">
        <v>698</v>
      </c>
      <c r="F29" s="1" t="s">
        <v>698</v>
      </c>
      <c r="G29" s="1" t="s">
        <v>698</v>
      </c>
      <c r="H29" s="1" t="s">
        <v>698</v>
      </c>
      <c r="I29" s="1" t="s">
        <v>698</v>
      </c>
      <c r="J29" s="1">
        <f t="shared" si="0"/>
        <v>1</v>
      </c>
      <c r="L29" s="1" t="s">
        <v>723</v>
      </c>
      <c r="M29" s="7">
        <v>27</v>
      </c>
      <c r="N29" s="5" t="s">
        <v>18</v>
      </c>
      <c r="O29" s="3" t="s">
        <v>19</v>
      </c>
      <c r="P29" s="3" t="s">
        <v>14</v>
      </c>
      <c r="Q29" s="3">
        <v>1</v>
      </c>
      <c r="R29" s="43">
        <f>VLOOKUP('7'!O29,Malzemeler!C:D,2,0)</f>
        <v>599.29999999999995</v>
      </c>
      <c r="S29" s="43">
        <f t="shared" si="1"/>
        <v>599.29999999999995</v>
      </c>
    </row>
    <row r="30" spans="2:19" x14ac:dyDescent="0.35">
      <c r="B30" s="1">
        <v>7</v>
      </c>
      <c r="C30" s="1" t="s">
        <v>698</v>
      </c>
      <c r="D30" s="1" t="s">
        <v>698</v>
      </c>
      <c r="E30" s="1" t="s">
        <v>698</v>
      </c>
      <c r="F30" s="1" t="s">
        <v>698</v>
      </c>
      <c r="G30" s="1" t="s">
        <v>698</v>
      </c>
      <c r="H30" s="1" t="s">
        <v>698</v>
      </c>
      <c r="I30" s="1" t="s">
        <v>698</v>
      </c>
      <c r="J30" s="1">
        <f t="shared" si="0"/>
        <v>1</v>
      </c>
      <c r="L30" s="1" t="s">
        <v>723</v>
      </c>
      <c r="M30" s="7">
        <v>28</v>
      </c>
      <c r="N30" s="5" t="s">
        <v>20</v>
      </c>
      <c r="O30" s="3" t="s">
        <v>21</v>
      </c>
      <c r="P30" s="3" t="s">
        <v>14</v>
      </c>
      <c r="Q30" s="3">
        <v>1</v>
      </c>
      <c r="R30" s="43">
        <f>VLOOKUP('7'!O30,Malzemeler!C:D,2,0)</f>
        <v>250</v>
      </c>
      <c r="S30" s="43">
        <f t="shared" si="1"/>
        <v>250</v>
      </c>
    </row>
    <row r="31" spans="2:19" x14ac:dyDescent="0.35">
      <c r="B31" s="1">
        <v>7</v>
      </c>
      <c r="C31" s="1" t="s">
        <v>698</v>
      </c>
      <c r="D31" s="1" t="s">
        <v>698</v>
      </c>
      <c r="E31" s="1" t="s">
        <v>698</v>
      </c>
      <c r="F31" s="1" t="s">
        <v>698</v>
      </c>
      <c r="G31" s="1" t="s">
        <v>698</v>
      </c>
      <c r="H31" s="1" t="s">
        <v>698</v>
      </c>
      <c r="I31" s="1" t="s">
        <v>698</v>
      </c>
      <c r="J31" s="1">
        <f t="shared" si="0"/>
        <v>1</v>
      </c>
      <c r="L31" s="1" t="s">
        <v>723</v>
      </c>
      <c r="M31" s="7">
        <v>29</v>
      </c>
      <c r="N31" s="5" t="s">
        <v>22</v>
      </c>
      <c r="O31" s="3" t="s">
        <v>520</v>
      </c>
      <c r="P31" s="3" t="s">
        <v>14</v>
      </c>
      <c r="Q31" s="3">
        <v>1</v>
      </c>
      <c r="R31" s="43">
        <f>VLOOKUP('7'!O31,Malzemeler!C:D,2,0)</f>
        <v>450</v>
      </c>
      <c r="S31" s="43">
        <f t="shared" si="1"/>
        <v>450</v>
      </c>
    </row>
    <row r="32" spans="2:19" x14ac:dyDescent="0.35">
      <c r="B32" s="1">
        <v>7</v>
      </c>
      <c r="C32" s="1" t="s">
        <v>698</v>
      </c>
      <c r="D32" s="1" t="s">
        <v>698</v>
      </c>
      <c r="E32" s="1" t="s">
        <v>698</v>
      </c>
      <c r="F32" s="1" t="s">
        <v>698</v>
      </c>
      <c r="G32" s="1" t="s">
        <v>698</v>
      </c>
      <c r="H32" s="1" t="s">
        <v>698</v>
      </c>
      <c r="I32" s="1" t="s">
        <v>698</v>
      </c>
      <c r="J32" s="1">
        <f t="shared" si="0"/>
        <v>1</v>
      </c>
      <c r="L32" s="1" t="s">
        <v>723</v>
      </c>
      <c r="M32" s="7">
        <v>30</v>
      </c>
      <c r="N32" s="5" t="s">
        <v>23</v>
      </c>
      <c r="O32" s="3" t="s">
        <v>529</v>
      </c>
      <c r="P32" s="3" t="s">
        <v>14</v>
      </c>
      <c r="Q32" s="3">
        <v>1</v>
      </c>
      <c r="R32" s="43">
        <f>VLOOKUP('7'!O32,Malzemeler!C:D,2,0)</f>
        <v>400</v>
      </c>
      <c r="S32" s="43">
        <f t="shared" si="1"/>
        <v>400</v>
      </c>
    </row>
    <row r="33" spans="2:19" x14ac:dyDescent="0.35">
      <c r="B33" s="1">
        <v>7</v>
      </c>
      <c r="C33" s="1" t="s">
        <v>698</v>
      </c>
      <c r="D33" s="1" t="s">
        <v>698</v>
      </c>
      <c r="E33" s="1" t="s">
        <v>698</v>
      </c>
      <c r="F33" s="1" t="s">
        <v>698</v>
      </c>
      <c r="G33" s="1" t="s">
        <v>698</v>
      </c>
      <c r="H33" s="1" t="s">
        <v>698</v>
      </c>
      <c r="I33" s="1" t="s">
        <v>698</v>
      </c>
      <c r="J33" s="1">
        <f t="shared" si="0"/>
        <v>1</v>
      </c>
      <c r="L33" s="1" t="s">
        <v>723</v>
      </c>
      <c r="M33" s="7">
        <v>31</v>
      </c>
      <c r="N33" s="6" t="s">
        <v>137</v>
      </c>
      <c r="O33" s="3" t="s">
        <v>138</v>
      </c>
      <c r="P33" s="3" t="s">
        <v>14</v>
      </c>
      <c r="Q33" s="3">
        <v>1</v>
      </c>
      <c r="R33" s="43">
        <f>VLOOKUP('7'!O33,Malzemeler!C:D,2,0)</f>
        <v>23.06</v>
      </c>
      <c r="S33" s="43">
        <f t="shared" si="1"/>
        <v>23.06</v>
      </c>
    </row>
    <row r="34" spans="2:19" x14ac:dyDescent="0.35">
      <c r="B34" s="1">
        <v>7</v>
      </c>
      <c r="C34" s="1" t="s">
        <v>698</v>
      </c>
      <c r="D34" s="1" t="s">
        <v>698</v>
      </c>
      <c r="E34" s="1" t="s">
        <v>698</v>
      </c>
      <c r="F34" s="1" t="s">
        <v>698</v>
      </c>
      <c r="G34" s="1" t="s">
        <v>698</v>
      </c>
      <c r="H34" s="1" t="s">
        <v>698</v>
      </c>
      <c r="I34" s="1" t="s">
        <v>698</v>
      </c>
      <c r="J34" s="1">
        <f t="shared" si="0"/>
        <v>1</v>
      </c>
      <c r="L34" s="1" t="s">
        <v>723</v>
      </c>
      <c r="M34" s="7">
        <v>32</v>
      </c>
      <c r="N34" s="6" t="s">
        <v>139</v>
      </c>
      <c r="O34" s="3" t="s">
        <v>140</v>
      </c>
      <c r="P34" s="3" t="s">
        <v>14</v>
      </c>
      <c r="Q34" s="3">
        <v>1</v>
      </c>
      <c r="R34" s="43">
        <f>VLOOKUP('7'!O34,Malzemeler!C:D,2,0)</f>
        <v>28.23</v>
      </c>
      <c r="S34" s="43">
        <f t="shared" si="1"/>
        <v>28.23</v>
      </c>
    </row>
    <row r="35" spans="2:19" x14ac:dyDescent="0.35">
      <c r="B35" s="1">
        <v>7</v>
      </c>
      <c r="C35" s="1" t="s">
        <v>698</v>
      </c>
      <c r="D35" s="1" t="s">
        <v>698</v>
      </c>
      <c r="E35" s="1" t="s">
        <v>698</v>
      </c>
      <c r="F35" s="1" t="s">
        <v>698</v>
      </c>
      <c r="G35" s="1" t="s">
        <v>698</v>
      </c>
      <c r="H35" s="1" t="s">
        <v>698</v>
      </c>
      <c r="I35" s="1" t="s">
        <v>698</v>
      </c>
      <c r="J35" s="1">
        <f t="shared" si="0"/>
        <v>1</v>
      </c>
      <c r="L35" s="1" t="s">
        <v>723</v>
      </c>
      <c r="M35" s="7">
        <v>33</v>
      </c>
      <c r="N35" s="6" t="s">
        <v>141</v>
      </c>
      <c r="O35" s="3" t="s">
        <v>142</v>
      </c>
      <c r="P35" s="3" t="s">
        <v>14</v>
      </c>
      <c r="Q35" s="3">
        <v>1</v>
      </c>
      <c r="R35" s="43">
        <f>VLOOKUP('7'!O35,Malzemeler!C:D,2,0)</f>
        <v>22.12</v>
      </c>
      <c r="S35" s="43">
        <f t="shared" si="1"/>
        <v>22.12</v>
      </c>
    </row>
    <row r="36" spans="2:19" x14ac:dyDescent="0.35">
      <c r="B36" s="1">
        <v>7</v>
      </c>
      <c r="C36" s="1" t="s">
        <v>698</v>
      </c>
      <c r="D36" s="1" t="s">
        <v>698</v>
      </c>
      <c r="E36" s="1" t="s">
        <v>698</v>
      </c>
      <c r="F36" s="1" t="s">
        <v>698</v>
      </c>
      <c r="G36" s="1" t="s">
        <v>698</v>
      </c>
      <c r="H36" s="1" t="s">
        <v>698</v>
      </c>
      <c r="I36" s="1" t="s">
        <v>698</v>
      </c>
      <c r="J36" s="1">
        <f t="shared" si="0"/>
        <v>1</v>
      </c>
      <c r="L36" s="1" t="s">
        <v>723</v>
      </c>
      <c r="M36" s="7">
        <v>34</v>
      </c>
      <c r="N36" s="6" t="s">
        <v>143</v>
      </c>
      <c r="O36" s="3" t="s">
        <v>144</v>
      </c>
      <c r="P36" s="3" t="s">
        <v>14</v>
      </c>
      <c r="Q36" s="3">
        <v>1</v>
      </c>
      <c r="R36" s="43">
        <f>VLOOKUP('7'!O36,Malzemeler!C:D,2,0)</f>
        <v>27.29</v>
      </c>
      <c r="S36" s="43">
        <f t="shared" si="1"/>
        <v>27.29</v>
      </c>
    </row>
    <row r="37" spans="2:19" x14ac:dyDescent="0.35">
      <c r="B37" s="1">
        <v>7</v>
      </c>
      <c r="C37" s="1" t="s">
        <v>698</v>
      </c>
      <c r="D37" s="1" t="s">
        <v>698</v>
      </c>
      <c r="E37" s="1" t="s">
        <v>698</v>
      </c>
      <c r="F37" s="1" t="s">
        <v>698</v>
      </c>
      <c r="G37" s="1" t="s">
        <v>698</v>
      </c>
      <c r="H37" s="1" t="s">
        <v>698</v>
      </c>
      <c r="I37" s="1" t="s">
        <v>698</v>
      </c>
      <c r="J37" s="1">
        <f t="shared" si="0"/>
        <v>1</v>
      </c>
      <c r="L37" s="1" t="s">
        <v>723</v>
      </c>
      <c r="M37" s="7">
        <v>35</v>
      </c>
      <c r="N37" s="6" t="s">
        <v>90</v>
      </c>
      <c r="O37" s="3" t="s">
        <v>91</v>
      </c>
      <c r="P37" s="3" t="s">
        <v>135</v>
      </c>
      <c r="Q37" s="10">
        <v>12.5</v>
      </c>
      <c r="R37" s="43">
        <f>VLOOKUP('7'!O37,Malzemeler!C:D,2,0)</f>
        <v>1.27</v>
      </c>
      <c r="S37" s="43">
        <f t="shared" si="1"/>
        <v>15.875</v>
      </c>
    </row>
    <row r="38" spans="2:19" x14ac:dyDescent="0.35">
      <c r="B38" s="1">
        <v>7</v>
      </c>
      <c r="C38" s="1" t="s">
        <v>698</v>
      </c>
      <c r="D38" s="1" t="s">
        <v>698</v>
      </c>
      <c r="E38" s="1" t="s">
        <v>698</v>
      </c>
      <c r="F38" s="1" t="s">
        <v>698</v>
      </c>
      <c r="G38" s="1" t="s">
        <v>698</v>
      </c>
      <c r="H38" s="1" t="s">
        <v>698</v>
      </c>
      <c r="I38" s="1" t="s">
        <v>698</v>
      </c>
      <c r="J38" s="1">
        <f t="shared" si="0"/>
        <v>1</v>
      </c>
      <c r="L38" s="1" t="s">
        <v>723</v>
      </c>
      <c r="M38" s="7">
        <v>36</v>
      </c>
      <c r="N38" s="6" t="s">
        <v>92</v>
      </c>
      <c r="O38" s="3" t="s">
        <v>93</v>
      </c>
      <c r="P38" s="3" t="s">
        <v>135</v>
      </c>
      <c r="Q38" s="10">
        <v>5.52</v>
      </c>
      <c r="R38" s="43">
        <f>VLOOKUP('7'!O38,Malzemeler!C:D,2,0)</f>
        <v>1.74</v>
      </c>
      <c r="S38" s="43">
        <f t="shared" si="1"/>
        <v>9.6047999999999991</v>
      </c>
    </row>
    <row r="39" spans="2:19" x14ac:dyDescent="0.35">
      <c r="B39" s="1">
        <v>7</v>
      </c>
      <c r="C39" s="1" t="s">
        <v>698</v>
      </c>
      <c r="D39" s="1" t="s">
        <v>698</v>
      </c>
      <c r="E39" s="1" t="s">
        <v>698</v>
      </c>
      <c r="F39" s="1" t="s">
        <v>698</v>
      </c>
      <c r="G39" s="1" t="s">
        <v>698</v>
      </c>
      <c r="H39" s="1" t="s">
        <v>698</v>
      </c>
      <c r="I39" s="1" t="s">
        <v>698</v>
      </c>
      <c r="J39" s="1">
        <f t="shared" si="0"/>
        <v>1</v>
      </c>
      <c r="L39" s="1" t="s">
        <v>723</v>
      </c>
      <c r="M39" s="7">
        <v>37</v>
      </c>
      <c r="N39" s="6" t="s">
        <v>94</v>
      </c>
      <c r="O39" s="3" t="s">
        <v>95</v>
      </c>
      <c r="P39" s="3" t="s">
        <v>135</v>
      </c>
      <c r="Q39" s="10">
        <v>19.5</v>
      </c>
      <c r="R39" s="43">
        <f>VLOOKUP('7'!O39,Malzemeler!C:D,2,0)</f>
        <v>1.95</v>
      </c>
      <c r="S39" s="43">
        <f t="shared" si="1"/>
        <v>38.024999999999999</v>
      </c>
    </row>
    <row r="40" spans="2:19" x14ac:dyDescent="0.35">
      <c r="B40" s="1">
        <v>7</v>
      </c>
      <c r="C40" s="1" t="s">
        <v>698</v>
      </c>
      <c r="D40" s="1" t="s">
        <v>698</v>
      </c>
      <c r="E40" s="1" t="s">
        <v>698</v>
      </c>
      <c r="F40" s="1" t="s">
        <v>698</v>
      </c>
      <c r="G40" s="1" t="s">
        <v>698</v>
      </c>
      <c r="H40" s="1" t="s">
        <v>698</v>
      </c>
      <c r="I40" s="1" t="s">
        <v>698</v>
      </c>
      <c r="J40" s="1">
        <f t="shared" si="0"/>
        <v>1</v>
      </c>
      <c r="L40" s="1" t="s">
        <v>723</v>
      </c>
      <c r="M40" s="7">
        <v>38</v>
      </c>
      <c r="N40" s="6" t="s">
        <v>611</v>
      </c>
      <c r="O40" s="3" t="s">
        <v>229</v>
      </c>
      <c r="P40" s="3" t="s">
        <v>136</v>
      </c>
      <c r="Q40" s="10">
        <v>66.5</v>
      </c>
      <c r="R40" s="43">
        <f>VLOOKUP('7'!O40,Malzemeler!C:D,2,0)</f>
        <v>0.79</v>
      </c>
      <c r="S40" s="43">
        <f t="shared" si="1"/>
        <v>52.535000000000004</v>
      </c>
    </row>
    <row r="41" spans="2:19" x14ac:dyDescent="0.35">
      <c r="B41" s="1">
        <v>7</v>
      </c>
      <c r="C41" s="1" t="s">
        <v>698</v>
      </c>
      <c r="D41" s="1" t="s">
        <v>698</v>
      </c>
      <c r="E41" s="1" t="s">
        <v>698</v>
      </c>
      <c r="F41" s="1" t="s">
        <v>698</v>
      </c>
      <c r="G41" s="1" t="s">
        <v>698</v>
      </c>
      <c r="H41" s="1" t="s">
        <v>698</v>
      </c>
      <c r="I41" s="1" t="s">
        <v>698</v>
      </c>
      <c r="J41" s="1">
        <f t="shared" si="0"/>
        <v>1</v>
      </c>
      <c r="L41" s="1" t="s">
        <v>723</v>
      </c>
      <c r="M41" s="7">
        <v>39</v>
      </c>
      <c r="N41" s="6" t="s">
        <v>612</v>
      </c>
      <c r="O41" s="3" t="s">
        <v>97</v>
      </c>
      <c r="P41" s="3" t="s">
        <v>136</v>
      </c>
      <c r="Q41" s="10">
        <v>55</v>
      </c>
      <c r="R41" s="43">
        <f>VLOOKUP('7'!O41,Malzemeler!C:D,2,0)</f>
        <v>0.8</v>
      </c>
      <c r="S41" s="43">
        <f t="shared" si="1"/>
        <v>44</v>
      </c>
    </row>
    <row r="42" spans="2:19" x14ac:dyDescent="0.35">
      <c r="B42" s="1">
        <v>7</v>
      </c>
      <c r="C42" s="1" t="s">
        <v>698</v>
      </c>
      <c r="D42" s="1" t="s">
        <v>698</v>
      </c>
      <c r="E42" s="1" t="s">
        <v>698</v>
      </c>
      <c r="F42" s="1" t="s">
        <v>698</v>
      </c>
      <c r="G42" s="1" t="s">
        <v>698</v>
      </c>
      <c r="H42" s="1" t="s">
        <v>698</v>
      </c>
      <c r="I42" s="1" t="s">
        <v>698</v>
      </c>
      <c r="J42" s="1">
        <f t="shared" si="0"/>
        <v>1</v>
      </c>
      <c r="L42" s="1" t="s">
        <v>723</v>
      </c>
      <c r="M42" s="7">
        <v>40</v>
      </c>
      <c r="N42" s="6" t="s">
        <v>613</v>
      </c>
      <c r="O42" s="3" t="s">
        <v>231</v>
      </c>
      <c r="P42" s="3" t="s">
        <v>136</v>
      </c>
      <c r="Q42" s="10">
        <v>10</v>
      </c>
      <c r="R42" s="43">
        <f>VLOOKUP('7'!O42,Malzemeler!C:D,2,0)</f>
        <v>0.85</v>
      </c>
      <c r="S42" s="43">
        <f t="shared" si="1"/>
        <v>8.5</v>
      </c>
    </row>
    <row r="43" spans="2:19" x14ac:dyDescent="0.35">
      <c r="B43" s="1">
        <v>7</v>
      </c>
      <c r="C43" s="1" t="s">
        <v>698</v>
      </c>
      <c r="D43" s="1" t="s">
        <v>698</v>
      </c>
      <c r="E43" s="1" t="s">
        <v>698</v>
      </c>
      <c r="F43" s="1" t="s">
        <v>698</v>
      </c>
      <c r="G43" s="1" t="s">
        <v>698</v>
      </c>
      <c r="H43" s="1" t="s">
        <v>698</v>
      </c>
      <c r="I43" s="1" t="s">
        <v>698</v>
      </c>
      <c r="J43" s="1">
        <f t="shared" si="0"/>
        <v>1</v>
      </c>
      <c r="L43" s="1" t="s">
        <v>723</v>
      </c>
      <c r="M43" s="7">
        <v>41</v>
      </c>
      <c r="N43" s="6" t="s">
        <v>609</v>
      </c>
      <c r="O43" s="3" t="s">
        <v>99</v>
      </c>
      <c r="P43" s="3" t="s">
        <v>136</v>
      </c>
      <c r="Q43" s="10">
        <v>8</v>
      </c>
      <c r="R43" s="43">
        <f>VLOOKUP('7'!O43,Malzemeler!C:D,2,0)</f>
        <v>0.87</v>
      </c>
      <c r="S43" s="43">
        <f t="shared" si="1"/>
        <v>6.96</v>
      </c>
    </row>
    <row r="44" spans="2:19" x14ac:dyDescent="0.35">
      <c r="B44" s="1">
        <v>7</v>
      </c>
      <c r="C44" s="1" t="s">
        <v>698</v>
      </c>
      <c r="D44" s="1" t="s">
        <v>698</v>
      </c>
      <c r="E44" s="1" t="s">
        <v>698</v>
      </c>
      <c r="F44" s="1" t="s">
        <v>698</v>
      </c>
      <c r="G44" s="1" t="s">
        <v>698</v>
      </c>
      <c r="H44" s="1" t="s">
        <v>698</v>
      </c>
      <c r="I44" s="1" t="s">
        <v>698</v>
      </c>
      <c r="J44" s="1">
        <f t="shared" si="0"/>
        <v>1</v>
      </c>
      <c r="L44" s="1" t="s">
        <v>723</v>
      </c>
      <c r="M44" s="7">
        <v>42</v>
      </c>
      <c r="N44" s="6" t="s">
        <v>610</v>
      </c>
      <c r="O44" s="3" t="s">
        <v>235</v>
      </c>
      <c r="P44" s="3" t="s">
        <v>136</v>
      </c>
      <c r="Q44" s="10">
        <v>14</v>
      </c>
      <c r="R44" s="43">
        <f>VLOOKUP('7'!O44,Malzemeler!C:D,2,0)</f>
        <v>2.3199999999999998</v>
      </c>
      <c r="S44" s="43">
        <f t="shared" si="1"/>
        <v>32.479999999999997</v>
      </c>
    </row>
    <row r="45" spans="2:19" x14ac:dyDescent="0.35">
      <c r="B45" s="1">
        <v>7</v>
      </c>
      <c r="C45" s="1" t="s">
        <v>698</v>
      </c>
      <c r="D45" s="1" t="s">
        <v>698</v>
      </c>
      <c r="E45" s="1" t="s">
        <v>698</v>
      </c>
      <c r="F45" s="1" t="s">
        <v>698</v>
      </c>
      <c r="G45" s="1" t="s">
        <v>698</v>
      </c>
      <c r="H45" s="1" t="s">
        <v>698</v>
      </c>
      <c r="I45" s="1" t="s">
        <v>698</v>
      </c>
      <c r="J45" s="1">
        <f t="shared" si="0"/>
        <v>1</v>
      </c>
      <c r="L45" s="1" t="s">
        <v>723</v>
      </c>
      <c r="M45" s="7">
        <v>43</v>
      </c>
      <c r="N45" s="77" t="s">
        <v>221</v>
      </c>
      <c r="O45" s="6" t="s">
        <v>222</v>
      </c>
      <c r="P45" s="3" t="s">
        <v>136</v>
      </c>
      <c r="Q45" s="10">
        <v>175.5</v>
      </c>
      <c r="R45" s="43">
        <f>VLOOKUP('7'!O45,Malzemeler!C:D,2,0)</f>
        <v>1.07</v>
      </c>
      <c r="S45" s="43">
        <f t="shared" si="1"/>
        <v>187.78500000000003</v>
      </c>
    </row>
    <row r="46" spans="2:19" x14ac:dyDescent="0.35">
      <c r="B46" s="1">
        <v>7</v>
      </c>
      <c r="C46" s="1" t="s">
        <v>698</v>
      </c>
      <c r="D46" s="1" t="s">
        <v>698</v>
      </c>
      <c r="E46" s="1" t="s">
        <v>698</v>
      </c>
      <c r="F46" s="1" t="s">
        <v>698</v>
      </c>
      <c r="G46" s="1" t="s">
        <v>698</v>
      </c>
      <c r="H46" s="1" t="s">
        <v>698</v>
      </c>
      <c r="I46" s="1" t="s">
        <v>698</v>
      </c>
      <c r="J46" s="1">
        <f t="shared" si="0"/>
        <v>1</v>
      </c>
      <c r="L46" s="1" t="s">
        <v>723</v>
      </c>
      <c r="M46" s="7">
        <v>44</v>
      </c>
      <c r="N46" s="6" t="s">
        <v>106</v>
      </c>
      <c r="O46" s="3" t="s">
        <v>107</v>
      </c>
      <c r="P46" s="3" t="s">
        <v>14</v>
      </c>
      <c r="Q46" s="10">
        <v>4</v>
      </c>
      <c r="R46" s="43">
        <f>VLOOKUP('7'!O46,Malzemeler!C:D,2,0)</f>
        <v>0</v>
      </c>
      <c r="S46" s="43">
        <f t="shared" si="1"/>
        <v>0</v>
      </c>
    </row>
    <row r="47" spans="2:19" x14ac:dyDescent="0.35">
      <c r="B47" s="1">
        <v>7</v>
      </c>
      <c r="C47" s="1" t="s">
        <v>698</v>
      </c>
      <c r="D47" s="1" t="s">
        <v>698</v>
      </c>
      <c r="E47" s="1" t="s">
        <v>698</v>
      </c>
      <c r="F47" s="1" t="s">
        <v>698</v>
      </c>
      <c r="G47" s="1" t="s">
        <v>698</v>
      </c>
      <c r="H47" s="1" t="s">
        <v>698</v>
      </c>
      <c r="I47" s="1" t="s">
        <v>698</v>
      </c>
      <c r="J47" s="1">
        <f t="shared" si="0"/>
        <v>1</v>
      </c>
      <c r="L47" s="1" t="s">
        <v>723</v>
      </c>
      <c r="M47" s="7">
        <v>45</v>
      </c>
      <c r="N47" s="6" t="s">
        <v>108</v>
      </c>
      <c r="O47" s="3" t="s">
        <v>109</v>
      </c>
      <c r="P47" s="3" t="s">
        <v>14</v>
      </c>
      <c r="Q47" s="10">
        <v>4</v>
      </c>
      <c r="R47" s="43">
        <f>VLOOKUP('7'!O47,Malzemeler!C:D,2,0)</f>
        <v>0</v>
      </c>
      <c r="S47" s="43">
        <f t="shared" si="1"/>
        <v>0</v>
      </c>
    </row>
    <row r="48" spans="2:19" x14ac:dyDescent="0.35">
      <c r="B48" s="1">
        <v>7</v>
      </c>
      <c r="C48" s="1" t="s">
        <v>698</v>
      </c>
      <c r="D48" s="1" t="s">
        <v>698</v>
      </c>
      <c r="E48" s="1" t="s">
        <v>698</v>
      </c>
      <c r="F48" s="1" t="s">
        <v>698</v>
      </c>
      <c r="G48" s="1" t="s">
        <v>698</v>
      </c>
      <c r="H48" s="1" t="s">
        <v>698</v>
      </c>
      <c r="I48" s="1" t="s">
        <v>698</v>
      </c>
      <c r="J48" s="1">
        <f t="shared" si="0"/>
        <v>1</v>
      </c>
      <c r="L48" s="1" t="s">
        <v>723</v>
      </c>
      <c r="M48" s="7">
        <v>46</v>
      </c>
      <c r="N48" s="6" t="s">
        <v>156</v>
      </c>
      <c r="O48" s="3" t="s">
        <v>157</v>
      </c>
      <c r="P48" s="3" t="s">
        <v>14</v>
      </c>
      <c r="Q48" s="10">
        <v>20.9</v>
      </c>
      <c r="R48" s="43">
        <f>VLOOKUP('7'!O48,Malzemeler!C:D,2,0)</f>
        <v>3</v>
      </c>
      <c r="S48" s="43">
        <f t="shared" si="1"/>
        <v>62.699999999999996</v>
      </c>
    </row>
    <row r="49" spans="2:19" x14ac:dyDescent="0.35">
      <c r="B49" s="1">
        <v>7</v>
      </c>
      <c r="C49" s="1" t="s">
        <v>698</v>
      </c>
      <c r="D49" s="1" t="s">
        <v>698</v>
      </c>
      <c r="E49" s="1" t="s">
        <v>698</v>
      </c>
      <c r="F49" s="1" t="s">
        <v>698</v>
      </c>
      <c r="G49" s="1" t="s">
        <v>698</v>
      </c>
      <c r="H49" s="1" t="s">
        <v>698</v>
      </c>
      <c r="I49" s="1" t="s">
        <v>698</v>
      </c>
      <c r="J49" s="1">
        <f t="shared" si="0"/>
        <v>1</v>
      </c>
      <c r="L49" s="1" t="s">
        <v>723</v>
      </c>
      <c r="M49" s="7">
        <v>47</v>
      </c>
      <c r="N49" s="6" t="s">
        <v>110</v>
      </c>
      <c r="O49" s="3" t="s">
        <v>111</v>
      </c>
      <c r="P49" s="3" t="s">
        <v>135</v>
      </c>
      <c r="Q49" s="10">
        <v>67</v>
      </c>
      <c r="R49" s="43">
        <f>VLOOKUP('7'!O49,Malzemeler!C:D,2,0)</f>
        <v>1.1200000000000001</v>
      </c>
      <c r="S49" s="43">
        <f t="shared" si="1"/>
        <v>75.040000000000006</v>
      </c>
    </row>
    <row r="50" spans="2:19" x14ac:dyDescent="0.35">
      <c r="B50" s="1">
        <v>7</v>
      </c>
      <c r="C50" s="1" t="s">
        <v>698</v>
      </c>
      <c r="D50" s="1" t="s">
        <v>698</v>
      </c>
      <c r="E50" s="1" t="s">
        <v>698</v>
      </c>
      <c r="F50" s="1" t="s">
        <v>698</v>
      </c>
      <c r="G50" s="1" t="s">
        <v>698</v>
      </c>
      <c r="H50" s="1" t="s">
        <v>698</v>
      </c>
      <c r="I50" s="1" t="s">
        <v>698</v>
      </c>
      <c r="J50" s="1">
        <f t="shared" si="0"/>
        <v>1</v>
      </c>
      <c r="L50" s="1" t="s">
        <v>723</v>
      </c>
      <c r="M50" s="7">
        <v>48</v>
      </c>
      <c r="N50" s="6" t="s">
        <v>112</v>
      </c>
      <c r="O50" s="3" t="s">
        <v>113</v>
      </c>
      <c r="P50" s="3" t="s">
        <v>14</v>
      </c>
      <c r="Q50" s="10">
        <v>84</v>
      </c>
      <c r="R50" s="43">
        <f>VLOOKUP('7'!O50,Malzemeler!C:D,2,0)</f>
        <v>1.1200000000000001</v>
      </c>
      <c r="S50" s="43">
        <f t="shared" si="1"/>
        <v>94.080000000000013</v>
      </c>
    </row>
    <row r="51" spans="2:19" x14ac:dyDescent="0.35">
      <c r="B51" s="1">
        <v>7</v>
      </c>
      <c r="C51" s="1" t="s">
        <v>698</v>
      </c>
      <c r="D51" s="1" t="s">
        <v>698</v>
      </c>
      <c r="E51" s="1" t="s">
        <v>698</v>
      </c>
      <c r="F51" s="1" t="s">
        <v>698</v>
      </c>
      <c r="G51" s="1" t="s">
        <v>698</v>
      </c>
      <c r="H51" s="1" t="s">
        <v>698</v>
      </c>
      <c r="I51" s="1" t="s">
        <v>698</v>
      </c>
      <c r="J51" s="1">
        <f t="shared" si="0"/>
        <v>1</v>
      </c>
      <c r="L51" s="1" t="s">
        <v>723</v>
      </c>
      <c r="M51" s="7">
        <v>49</v>
      </c>
      <c r="N51" s="6" t="s">
        <v>114</v>
      </c>
      <c r="O51" s="3" t="s">
        <v>115</v>
      </c>
      <c r="P51" s="3" t="s">
        <v>135</v>
      </c>
      <c r="Q51" s="10">
        <v>13</v>
      </c>
      <c r="R51" s="43">
        <f>VLOOKUP('7'!O51,Malzemeler!C:D,2,0)</f>
        <v>2.21</v>
      </c>
      <c r="S51" s="43">
        <f t="shared" si="1"/>
        <v>28.73</v>
      </c>
    </row>
    <row r="52" spans="2:19" x14ac:dyDescent="0.35">
      <c r="B52" s="1">
        <v>7</v>
      </c>
      <c r="C52" s="1" t="s">
        <v>698</v>
      </c>
      <c r="D52" s="1" t="s">
        <v>698</v>
      </c>
      <c r="E52" s="1" t="s">
        <v>698</v>
      </c>
      <c r="F52" s="1" t="s">
        <v>698</v>
      </c>
      <c r="G52" s="1" t="s">
        <v>698</v>
      </c>
      <c r="H52" s="1" t="s">
        <v>698</v>
      </c>
      <c r="I52" s="1" t="s">
        <v>698</v>
      </c>
      <c r="J52" s="1">
        <f t="shared" si="0"/>
        <v>1</v>
      </c>
      <c r="L52" s="1" t="s">
        <v>723</v>
      </c>
      <c r="M52" s="7">
        <v>50</v>
      </c>
      <c r="N52" s="6" t="s">
        <v>116</v>
      </c>
      <c r="O52" s="3" t="s">
        <v>117</v>
      </c>
      <c r="P52" s="3" t="s">
        <v>14</v>
      </c>
      <c r="Q52" s="11">
        <v>16</v>
      </c>
      <c r="R52" s="43">
        <f>VLOOKUP('7'!O52,Malzemeler!C:D,2,0)</f>
        <v>2.17</v>
      </c>
      <c r="S52" s="43">
        <f t="shared" si="1"/>
        <v>34.72</v>
      </c>
    </row>
    <row r="53" spans="2:19" x14ac:dyDescent="0.35">
      <c r="B53" s="1">
        <v>7</v>
      </c>
      <c r="C53" s="1" t="s">
        <v>698</v>
      </c>
      <c r="D53" s="1" t="s">
        <v>698</v>
      </c>
      <c r="E53" s="1" t="s">
        <v>698</v>
      </c>
      <c r="F53" s="1" t="s">
        <v>698</v>
      </c>
      <c r="G53" s="1" t="s">
        <v>698</v>
      </c>
      <c r="H53" s="1" t="s">
        <v>698</v>
      </c>
      <c r="I53" s="1" t="s">
        <v>698</v>
      </c>
      <c r="J53" s="1">
        <f t="shared" si="0"/>
        <v>1</v>
      </c>
      <c r="L53" s="1" t="s">
        <v>723</v>
      </c>
      <c r="M53" s="7">
        <v>51</v>
      </c>
      <c r="N53" s="1" t="s">
        <v>118</v>
      </c>
      <c r="O53" s="3" t="s">
        <v>119</v>
      </c>
      <c r="P53" s="3" t="s">
        <v>14</v>
      </c>
      <c r="Q53" s="3">
        <v>8</v>
      </c>
      <c r="R53" s="43">
        <f>VLOOKUP('7'!O53,Malzemeler!C:D,2,0)</f>
        <v>0.03</v>
      </c>
      <c r="S53" s="43">
        <f t="shared" si="1"/>
        <v>0.24</v>
      </c>
    </row>
    <row r="54" spans="2:19" x14ac:dyDescent="0.35">
      <c r="B54" s="1">
        <v>7</v>
      </c>
      <c r="C54" s="1" t="s">
        <v>698</v>
      </c>
      <c r="D54" s="1" t="s">
        <v>698</v>
      </c>
      <c r="E54" s="1" t="s">
        <v>698</v>
      </c>
      <c r="F54" s="1" t="s">
        <v>698</v>
      </c>
      <c r="G54" s="1" t="s">
        <v>698</v>
      </c>
      <c r="H54" s="1" t="s">
        <v>698</v>
      </c>
      <c r="I54" s="1" t="s">
        <v>698</v>
      </c>
      <c r="J54" s="1">
        <f t="shared" si="0"/>
        <v>1</v>
      </c>
      <c r="L54" s="1" t="s">
        <v>723</v>
      </c>
      <c r="M54" s="7">
        <v>52</v>
      </c>
      <c r="N54" s="1" t="s">
        <v>120</v>
      </c>
      <c r="O54" s="3" t="s">
        <v>121</v>
      </c>
      <c r="P54" s="3" t="s">
        <v>14</v>
      </c>
      <c r="Q54" s="3">
        <v>8</v>
      </c>
      <c r="R54" s="43">
        <f>VLOOKUP('7'!O54,Malzemeler!C:D,2,0)</f>
        <v>0.5</v>
      </c>
      <c r="S54" s="43">
        <f t="shared" si="1"/>
        <v>4</v>
      </c>
    </row>
    <row r="55" spans="2:19" x14ac:dyDescent="0.35">
      <c r="B55" s="1">
        <v>7</v>
      </c>
      <c r="C55" s="1" t="s">
        <v>698</v>
      </c>
      <c r="D55" s="1" t="s">
        <v>698</v>
      </c>
      <c r="E55" s="1" t="s">
        <v>698</v>
      </c>
      <c r="F55" s="1" t="s">
        <v>698</v>
      </c>
      <c r="G55" s="1" t="s">
        <v>698</v>
      </c>
      <c r="H55" s="1" t="s">
        <v>698</v>
      </c>
      <c r="I55" s="1" t="s">
        <v>698</v>
      </c>
      <c r="J55" s="1">
        <f t="shared" si="0"/>
        <v>1</v>
      </c>
      <c r="L55" s="1" t="s">
        <v>723</v>
      </c>
      <c r="M55" s="7">
        <v>53</v>
      </c>
      <c r="N55" s="1" t="s">
        <v>122</v>
      </c>
      <c r="O55" s="3" t="s">
        <v>123</v>
      </c>
      <c r="P55" s="3" t="s">
        <v>14</v>
      </c>
      <c r="Q55" s="3">
        <v>1</v>
      </c>
      <c r="R55" s="43">
        <f>VLOOKUP('7'!O55,Malzemeler!C:D,2,0)</f>
        <v>0.13</v>
      </c>
      <c r="S55" s="43">
        <f t="shared" si="1"/>
        <v>0.13</v>
      </c>
    </row>
    <row r="56" spans="2:19" x14ac:dyDescent="0.35">
      <c r="B56" s="1">
        <v>7</v>
      </c>
      <c r="C56" s="1" t="s">
        <v>698</v>
      </c>
      <c r="D56" s="1" t="s">
        <v>698</v>
      </c>
      <c r="E56" s="1" t="s">
        <v>698</v>
      </c>
      <c r="F56" s="1" t="s">
        <v>698</v>
      </c>
      <c r="G56" s="1" t="s">
        <v>698</v>
      </c>
      <c r="H56" s="1" t="s">
        <v>698</v>
      </c>
      <c r="I56" s="1" t="s">
        <v>698</v>
      </c>
      <c r="J56" s="1">
        <f t="shared" si="0"/>
        <v>1</v>
      </c>
      <c r="L56" s="1" t="s">
        <v>723</v>
      </c>
      <c r="M56" s="7">
        <v>54</v>
      </c>
      <c r="N56" s="1" t="s">
        <v>603</v>
      </c>
      <c r="O56" s="3" t="s">
        <v>605</v>
      </c>
      <c r="P56" s="3" t="s">
        <v>14</v>
      </c>
      <c r="Q56" s="3">
        <v>2</v>
      </c>
      <c r="R56" s="43">
        <f>VLOOKUP('7'!O56,Malzemeler!C:D,2,0)</f>
        <v>0</v>
      </c>
      <c r="S56" s="43">
        <f t="shared" si="1"/>
        <v>0</v>
      </c>
    </row>
    <row r="57" spans="2:19" x14ac:dyDescent="0.35">
      <c r="B57" s="1">
        <v>7</v>
      </c>
      <c r="C57" s="1" t="s">
        <v>698</v>
      </c>
      <c r="D57" s="1" t="s">
        <v>698</v>
      </c>
      <c r="E57" s="1" t="s">
        <v>698</v>
      </c>
      <c r="F57" s="1" t="s">
        <v>698</v>
      </c>
      <c r="G57" s="1" t="s">
        <v>698</v>
      </c>
      <c r="H57" s="1" t="s">
        <v>698</v>
      </c>
      <c r="I57" s="1" t="s">
        <v>698</v>
      </c>
      <c r="J57" s="1">
        <f t="shared" si="0"/>
        <v>1</v>
      </c>
      <c r="L57" s="1" t="s">
        <v>722</v>
      </c>
      <c r="M57" s="7">
        <v>55</v>
      </c>
      <c r="N57" s="5" t="s">
        <v>27</v>
      </c>
      <c r="O57" s="3" t="s">
        <v>28</v>
      </c>
      <c r="P57" s="3" t="s">
        <v>14</v>
      </c>
      <c r="Q57" s="3">
        <v>1</v>
      </c>
      <c r="R57" s="43">
        <f>VLOOKUP('7'!O57,Malzemeler!C:D,2,0)</f>
        <v>4.76</v>
      </c>
      <c r="S57" s="43">
        <f t="shared" si="1"/>
        <v>4.76</v>
      </c>
    </row>
    <row r="58" spans="2:19" x14ac:dyDescent="0.35">
      <c r="B58" s="1">
        <v>7</v>
      </c>
      <c r="C58" s="1" t="s">
        <v>698</v>
      </c>
      <c r="D58" s="1" t="s">
        <v>698</v>
      </c>
      <c r="E58" s="1" t="s">
        <v>698</v>
      </c>
      <c r="F58" s="1" t="s">
        <v>698</v>
      </c>
      <c r="G58" s="1" t="s">
        <v>698</v>
      </c>
      <c r="H58" s="1" t="s">
        <v>698</v>
      </c>
      <c r="I58" s="1" t="s">
        <v>698</v>
      </c>
      <c r="J58" s="1">
        <f t="shared" si="0"/>
        <v>1</v>
      </c>
      <c r="L58" s="1" t="s">
        <v>722</v>
      </c>
      <c r="M58" s="7">
        <v>56</v>
      </c>
      <c r="N58" s="5" t="s">
        <v>29</v>
      </c>
      <c r="O58" s="3" t="s">
        <v>30</v>
      </c>
      <c r="P58" s="3" t="s">
        <v>14</v>
      </c>
      <c r="Q58" s="2">
        <v>1</v>
      </c>
      <c r="R58" s="43">
        <f>VLOOKUP('7'!O58,Malzemeler!C:D,2,0)</f>
        <v>4.76</v>
      </c>
      <c r="S58" s="43">
        <f t="shared" si="1"/>
        <v>4.76</v>
      </c>
    </row>
    <row r="59" spans="2:19" x14ac:dyDescent="0.35">
      <c r="B59" s="1">
        <v>7</v>
      </c>
      <c r="C59" s="1" t="s">
        <v>698</v>
      </c>
      <c r="D59" s="1" t="s">
        <v>698</v>
      </c>
      <c r="E59" s="1" t="s">
        <v>698</v>
      </c>
      <c r="F59" s="1" t="s">
        <v>698</v>
      </c>
      <c r="G59" s="1" t="s">
        <v>698</v>
      </c>
      <c r="H59" s="1" t="s">
        <v>698</v>
      </c>
      <c r="I59" s="1" t="s">
        <v>698</v>
      </c>
      <c r="J59" s="1">
        <f t="shared" si="0"/>
        <v>1</v>
      </c>
      <c r="L59" s="1" t="s">
        <v>722</v>
      </c>
      <c r="M59" s="7">
        <v>57</v>
      </c>
      <c r="N59" s="5" t="s">
        <v>24</v>
      </c>
      <c r="O59" s="3" t="s">
        <v>538</v>
      </c>
      <c r="P59" s="3" t="s">
        <v>14</v>
      </c>
      <c r="Q59" s="3">
        <v>1</v>
      </c>
      <c r="R59" s="43">
        <f>VLOOKUP('7'!O59,Malzemeler!C:D,2,0)</f>
        <v>77.459999999999994</v>
      </c>
      <c r="S59" s="43">
        <f t="shared" si="1"/>
        <v>77.459999999999994</v>
      </c>
    </row>
    <row r="60" spans="2:19" x14ac:dyDescent="0.35">
      <c r="B60" s="1">
        <v>7</v>
      </c>
      <c r="C60" s="1" t="s">
        <v>698</v>
      </c>
      <c r="D60" s="1" t="s">
        <v>698</v>
      </c>
      <c r="E60" s="1" t="s">
        <v>698</v>
      </c>
      <c r="F60" s="1" t="s">
        <v>698</v>
      </c>
      <c r="G60" s="1" t="s">
        <v>698</v>
      </c>
      <c r="H60" s="1" t="s">
        <v>698</v>
      </c>
      <c r="I60" s="1" t="s">
        <v>698</v>
      </c>
      <c r="J60" s="1">
        <f t="shared" si="0"/>
        <v>1</v>
      </c>
      <c r="L60" s="1" t="s">
        <v>722</v>
      </c>
      <c r="M60" s="7">
        <v>58</v>
      </c>
      <c r="N60" s="5" t="s">
        <v>25</v>
      </c>
      <c r="O60" s="3" t="s">
        <v>26</v>
      </c>
      <c r="P60" s="3" t="s">
        <v>14</v>
      </c>
      <c r="Q60" s="3">
        <v>1</v>
      </c>
      <c r="R60" s="43">
        <f>VLOOKUP('7'!O60,Malzemeler!C:D,2,0)</f>
        <v>40.53</v>
      </c>
      <c r="S60" s="43">
        <f t="shared" si="1"/>
        <v>40.53</v>
      </c>
    </row>
    <row r="61" spans="2:19" x14ac:dyDescent="0.35">
      <c r="B61" s="1">
        <v>7</v>
      </c>
      <c r="C61" s="1" t="s">
        <v>698</v>
      </c>
      <c r="D61" s="1" t="s">
        <v>698</v>
      </c>
      <c r="E61" s="1" t="s">
        <v>698</v>
      </c>
      <c r="F61" s="1" t="s">
        <v>698</v>
      </c>
      <c r="G61" s="1" t="s">
        <v>698</v>
      </c>
      <c r="H61" s="1" t="s">
        <v>698</v>
      </c>
      <c r="I61" s="1" t="s">
        <v>698</v>
      </c>
      <c r="J61" s="1">
        <f t="shared" si="0"/>
        <v>1</v>
      </c>
      <c r="L61" s="1" t="s">
        <v>722</v>
      </c>
      <c r="M61" s="7">
        <v>59</v>
      </c>
      <c r="N61" s="5" t="s">
        <v>49</v>
      </c>
      <c r="O61" s="3" t="s">
        <v>50</v>
      </c>
      <c r="P61" s="3" t="s">
        <v>14</v>
      </c>
      <c r="Q61" s="3">
        <v>1</v>
      </c>
      <c r="R61" s="43">
        <f>VLOOKUP('7'!O61,Malzemeler!C:D,2,0)</f>
        <v>46.47</v>
      </c>
      <c r="S61" s="43">
        <f t="shared" si="1"/>
        <v>46.47</v>
      </c>
    </row>
    <row r="62" spans="2:19" x14ac:dyDescent="0.35">
      <c r="B62" s="1">
        <v>7</v>
      </c>
      <c r="C62" s="1" t="s">
        <v>698</v>
      </c>
      <c r="D62" s="1" t="s">
        <v>698</v>
      </c>
      <c r="E62" s="1" t="s">
        <v>698</v>
      </c>
      <c r="F62" s="1" t="s">
        <v>698</v>
      </c>
      <c r="G62" s="1" t="s">
        <v>698</v>
      </c>
      <c r="H62" s="1" t="s">
        <v>698</v>
      </c>
      <c r="I62" s="1" t="s">
        <v>698</v>
      </c>
      <c r="J62" s="1">
        <f t="shared" si="0"/>
        <v>1</v>
      </c>
      <c r="L62" s="1" t="s">
        <v>722</v>
      </c>
      <c r="M62" s="7">
        <v>60</v>
      </c>
      <c r="N62" s="5" t="s">
        <v>51</v>
      </c>
      <c r="O62" s="3" t="s">
        <v>52</v>
      </c>
      <c r="P62" s="3" t="s">
        <v>14</v>
      </c>
      <c r="Q62" s="3">
        <v>1</v>
      </c>
      <c r="R62" s="43">
        <f>VLOOKUP('7'!O62,Malzemeler!C:D,2,0)</f>
        <v>74.48</v>
      </c>
      <c r="S62" s="43">
        <f t="shared" si="1"/>
        <v>74.48</v>
      </c>
    </row>
    <row r="63" spans="2:19" x14ac:dyDescent="0.35">
      <c r="B63" s="1">
        <v>7</v>
      </c>
      <c r="C63" s="1" t="s">
        <v>698</v>
      </c>
      <c r="D63" s="1" t="s">
        <v>698</v>
      </c>
      <c r="E63" s="1" t="s">
        <v>698</v>
      </c>
      <c r="F63" s="1" t="s">
        <v>698</v>
      </c>
      <c r="G63" s="1" t="s">
        <v>698</v>
      </c>
      <c r="H63" s="1" t="s">
        <v>698</v>
      </c>
      <c r="I63" s="1" t="s">
        <v>698</v>
      </c>
      <c r="J63" s="1">
        <f t="shared" si="0"/>
        <v>1</v>
      </c>
      <c r="L63" s="1" t="s">
        <v>722</v>
      </c>
      <c r="M63" s="7">
        <v>61</v>
      </c>
      <c r="N63" s="5" t="s">
        <v>31</v>
      </c>
      <c r="O63" s="3" t="s">
        <v>32</v>
      </c>
      <c r="P63" s="3" t="s">
        <v>14</v>
      </c>
      <c r="Q63" s="3">
        <v>1</v>
      </c>
      <c r="R63" s="43">
        <f>VLOOKUP('7'!O63,Malzemeler!C:D,2,0)</f>
        <v>675.52</v>
      </c>
      <c r="S63" s="43">
        <f t="shared" si="1"/>
        <v>675.52</v>
      </c>
    </row>
    <row r="64" spans="2:19" x14ac:dyDescent="0.35">
      <c r="B64" s="1">
        <v>7</v>
      </c>
      <c r="C64" s="1" t="s">
        <v>698</v>
      </c>
      <c r="D64" s="1" t="s">
        <v>698</v>
      </c>
      <c r="E64" s="1" t="s">
        <v>698</v>
      </c>
      <c r="F64" s="1" t="s">
        <v>698</v>
      </c>
      <c r="G64" s="1" t="s">
        <v>698</v>
      </c>
      <c r="H64" s="1" t="s">
        <v>698</v>
      </c>
      <c r="I64" s="1" t="s">
        <v>698</v>
      </c>
      <c r="J64" s="1">
        <f t="shared" si="0"/>
        <v>1</v>
      </c>
      <c r="L64" s="1" t="s">
        <v>722</v>
      </c>
      <c r="M64" s="7">
        <v>62</v>
      </c>
      <c r="N64" s="5" t="s">
        <v>33</v>
      </c>
      <c r="O64" s="3" t="s">
        <v>34</v>
      </c>
      <c r="P64" s="3" t="s">
        <v>14</v>
      </c>
      <c r="Q64" s="3">
        <v>1</v>
      </c>
      <c r="R64" s="43">
        <f>VLOOKUP('7'!O64,Malzemeler!C:D,2,0)</f>
        <v>23.17</v>
      </c>
      <c r="S64" s="43">
        <f t="shared" si="1"/>
        <v>23.17</v>
      </c>
    </row>
    <row r="65" spans="2:19" x14ac:dyDescent="0.35">
      <c r="B65" s="1">
        <v>7</v>
      </c>
      <c r="C65" s="1" t="s">
        <v>698</v>
      </c>
      <c r="D65" s="1" t="s">
        <v>698</v>
      </c>
      <c r="E65" s="1" t="s">
        <v>698</v>
      </c>
      <c r="F65" s="1" t="s">
        <v>698</v>
      </c>
      <c r="G65" s="1" t="s">
        <v>698</v>
      </c>
      <c r="H65" s="1" t="s">
        <v>698</v>
      </c>
      <c r="I65" s="1" t="s">
        <v>698</v>
      </c>
      <c r="J65" s="1">
        <f t="shared" si="0"/>
        <v>1</v>
      </c>
      <c r="L65" s="1" t="s">
        <v>722</v>
      </c>
      <c r="M65" s="7">
        <v>63</v>
      </c>
      <c r="N65" s="1" t="s">
        <v>35</v>
      </c>
      <c r="O65" s="3" t="s">
        <v>36</v>
      </c>
      <c r="P65" s="3" t="s">
        <v>14</v>
      </c>
      <c r="Q65" s="3">
        <v>1</v>
      </c>
      <c r="R65" s="43">
        <f>VLOOKUP('7'!O65,Malzemeler!C:D,2,0)</f>
        <v>130.16</v>
      </c>
      <c r="S65" s="43">
        <f t="shared" si="1"/>
        <v>130.16</v>
      </c>
    </row>
    <row r="66" spans="2:19" x14ac:dyDescent="0.35">
      <c r="B66" s="1">
        <v>7</v>
      </c>
      <c r="C66" s="1" t="s">
        <v>698</v>
      </c>
      <c r="D66" s="1" t="s">
        <v>698</v>
      </c>
      <c r="E66" s="1" t="s">
        <v>698</v>
      </c>
      <c r="F66" s="1" t="s">
        <v>698</v>
      </c>
      <c r="G66" s="1" t="s">
        <v>698</v>
      </c>
      <c r="H66" s="1" t="s">
        <v>698</v>
      </c>
      <c r="I66" s="1" t="s">
        <v>698</v>
      </c>
      <c r="J66" s="1">
        <f t="shared" si="0"/>
        <v>1</v>
      </c>
      <c r="L66" s="1" t="s">
        <v>722</v>
      </c>
      <c r="M66" s="7">
        <v>64</v>
      </c>
      <c r="N66" s="5" t="s">
        <v>37</v>
      </c>
      <c r="O66" s="3" t="s">
        <v>38</v>
      </c>
      <c r="P66" s="3" t="s">
        <v>14</v>
      </c>
      <c r="Q66" s="3">
        <v>1</v>
      </c>
      <c r="R66" s="43">
        <f>VLOOKUP('7'!O66,Malzemeler!C:D,2,0)</f>
        <v>130.16</v>
      </c>
      <c r="S66" s="43">
        <f t="shared" si="1"/>
        <v>130.16</v>
      </c>
    </row>
    <row r="67" spans="2:19" x14ac:dyDescent="0.35">
      <c r="B67" s="1">
        <v>7</v>
      </c>
      <c r="C67" s="1" t="s">
        <v>698</v>
      </c>
      <c r="D67" s="1" t="s">
        <v>698</v>
      </c>
      <c r="E67" s="1" t="s">
        <v>698</v>
      </c>
      <c r="F67" s="1" t="s">
        <v>698</v>
      </c>
      <c r="G67" s="1" t="s">
        <v>698</v>
      </c>
      <c r="H67" s="1" t="s">
        <v>698</v>
      </c>
      <c r="I67" s="1" t="s">
        <v>698</v>
      </c>
      <c r="J67" s="1">
        <f t="shared" ref="J67:J83" si="2">SUBTOTAL(103,B67)</f>
        <v>1</v>
      </c>
      <c r="L67" s="1" t="s">
        <v>722</v>
      </c>
      <c r="M67" s="7">
        <v>65</v>
      </c>
      <c r="N67" s="5" t="s">
        <v>39</v>
      </c>
      <c r="O67" s="3" t="s">
        <v>40</v>
      </c>
      <c r="P67" s="3" t="s">
        <v>14</v>
      </c>
      <c r="Q67" s="3">
        <v>2</v>
      </c>
      <c r="R67" s="43">
        <f>VLOOKUP('7'!O67,Malzemeler!C:D,2,0)</f>
        <v>4.7300000000000004</v>
      </c>
      <c r="S67" s="43">
        <f t="shared" ref="S67:S87" si="3">+R67*Q67</f>
        <v>9.4600000000000009</v>
      </c>
    </row>
    <row r="68" spans="2:19" x14ac:dyDescent="0.35">
      <c r="B68" s="1">
        <v>7</v>
      </c>
      <c r="C68" s="1" t="s">
        <v>698</v>
      </c>
      <c r="D68" s="1" t="s">
        <v>698</v>
      </c>
      <c r="E68" s="1" t="s">
        <v>698</v>
      </c>
      <c r="F68" s="1" t="s">
        <v>698</v>
      </c>
      <c r="G68" s="1" t="s">
        <v>698</v>
      </c>
      <c r="H68" s="1" t="s">
        <v>698</v>
      </c>
      <c r="I68" s="1" t="s">
        <v>698</v>
      </c>
      <c r="J68" s="1">
        <f t="shared" si="2"/>
        <v>1</v>
      </c>
      <c r="L68" s="1" t="s">
        <v>722</v>
      </c>
      <c r="M68" s="7">
        <v>66</v>
      </c>
      <c r="N68" s="5" t="s">
        <v>41</v>
      </c>
      <c r="O68" s="3" t="s">
        <v>42</v>
      </c>
      <c r="P68" s="3" t="s">
        <v>14</v>
      </c>
      <c r="Q68" s="3">
        <v>2</v>
      </c>
      <c r="R68" s="43">
        <f>VLOOKUP('7'!O68,Malzemeler!C:D,2,0)</f>
        <v>155.05000000000001</v>
      </c>
      <c r="S68" s="43">
        <f t="shared" si="3"/>
        <v>310.10000000000002</v>
      </c>
    </row>
    <row r="69" spans="2:19" x14ac:dyDescent="0.35">
      <c r="B69" s="1">
        <v>7</v>
      </c>
      <c r="C69" s="1" t="s">
        <v>698</v>
      </c>
      <c r="D69" s="1" t="s">
        <v>698</v>
      </c>
      <c r="E69" s="1" t="s">
        <v>698</v>
      </c>
      <c r="F69" s="1" t="s">
        <v>698</v>
      </c>
      <c r="G69" s="1" t="s">
        <v>698</v>
      </c>
      <c r="H69" s="1" t="s">
        <v>698</v>
      </c>
      <c r="I69" s="1" t="s">
        <v>698</v>
      </c>
      <c r="J69" s="1">
        <f t="shared" si="2"/>
        <v>1</v>
      </c>
      <c r="L69" s="1" t="s">
        <v>722</v>
      </c>
      <c r="M69" s="7">
        <v>67</v>
      </c>
      <c r="N69" s="5" t="s">
        <v>43</v>
      </c>
      <c r="O69" s="3" t="s">
        <v>44</v>
      </c>
      <c r="P69" s="3" t="s">
        <v>14</v>
      </c>
      <c r="Q69" s="3">
        <v>1</v>
      </c>
      <c r="R69" s="43">
        <f>VLOOKUP('7'!O69,Malzemeler!C:D,2,0)</f>
        <v>238.61</v>
      </c>
      <c r="S69" s="43">
        <f t="shared" si="3"/>
        <v>238.61</v>
      </c>
    </row>
    <row r="70" spans="2:19" x14ac:dyDescent="0.35">
      <c r="B70" s="1">
        <v>7</v>
      </c>
      <c r="C70" s="1" t="s">
        <v>698</v>
      </c>
      <c r="D70" s="1" t="s">
        <v>698</v>
      </c>
      <c r="E70" s="1" t="s">
        <v>698</v>
      </c>
      <c r="F70" s="1" t="s">
        <v>698</v>
      </c>
      <c r="G70" s="1" t="s">
        <v>698</v>
      </c>
      <c r="H70" s="1" t="s">
        <v>698</v>
      </c>
      <c r="I70" s="1" t="s">
        <v>698</v>
      </c>
      <c r="J70" s="1">
        <f t="shared" si="2"/>
        <v>1</v>
      </c>
      <c r="L70" s="1" t="s">
        <v>722</v>
      </c>
      <c r="M70" s="7">
        <v>68</v>
      </c>
      <c r="N70" s="5" t="s">
        <v>45</v>
      </c>
      <c r="O70" s="3" t="s">
        <v>46</v>
      </c>
      <c r="P70" s="3" t="s">
        <v>14</v>
      </c>
      <c r="Q70" s="3">
        <v>1</v>
      </c>
      <c r="R70" s="43">
        <f>VLOOKUP('7'!O70,Malzemeler!C:D,2,0)</f>
        <v>10.84</v>
      </c>
      <c r="S70" s="43">
        <f t="shared" si="3"/>
        <v>10.84</v>
      </c>
    </row>
    <row r="71" spans="2:19" x14ac:dyDescent="0.35">
      <c r="B71" s="1">
        <v>7</v>
      </c>
      <c r="C71" s="1" t="s">
        <v>698</v>
      </c>
      <c r="D71" s="1" t="s">
        <v>698</v>
      </c>
      <c r="E71" s="1" t="s">
        <v>698</v>
      </c>
      <c r="F71" s="1" t="s">
        <v>698</v>
      </c>
      <c r="G71" s="1" t="s">
        <v>698</v>
      </c>
      <c r="H71" s="1" t="s">
        <v>698</v>
      </c>
      <c r="I71" s="1" t="s">
        <v>698</v>
      </c>
      <c r="J71" s="1">
        <f t="shared" si="2"/>
        <v>1</v>
      </c>
      <c r="L71" s="1" t="s">
        <v>722</v>
      </c>
      <c r="M71" s="7">
        <v>69</v>
      </c>
      <c r="N71" s="5" t="s">
        <v>47</v>
      </c>
      <c r="O71" s="3" t="s">
        <v>48</v>
      </c>
      <c r="P71" s="3" t="s">
        <v>14</v>
      </c>
      <c r="Q71" s="3">
        <v>1</v>
      </c>
      <c r="R71" s="43">
        <f>VLOOKUP('7'!O71,Malzemeler!C:D,2,0)</f>
        <v>22.83</v>
      </c>
      <c r="S71" s="43">
        <f t="shared" si="3"/>
        <v>22.83</v>
      </c>
    </row>
    <row r="72" spans="2:19" x14ac:dyDescent="0.35">
      <c r="B72" s="1">
        <v>7</v>
      </c>
      <c r="C72" s="1" t="s">
        <v>698</v>
      </c>
      <c r="D72" s="1" t="s">
        <v>698</v>
      </c>
      <c r="E72" s="1" t="s">
        <v>698</v>
      </c>
      <c r="F72" s="1" t="s">
        <v>698</v>
      </c>
      <c r="G72" s="1" t="s">
        <v>698</v>
      </c>
      <c r="H72" s="1" t="s">
        <v>698</v>
      </c>
      <c r="I72" s="1" t="s">
        <v>698</v>
      </c>
      <c r="J72" s="1">
        <f t="shared" si="2"/>
        <v>1</v>
      </c>
      <c r="L72" s="1" t="s">
        <v>722</v>
      </c>
      <c r="M72" s="7">
        <v>70</v>
      </c>
      <c r="N72" s="5" t="s">
        <v>678</v>
      </c>
      <c r="O72" s="3" t="s">
        <v>679</v>
      </c>
      <c r="P72" s="3" t="s">
        <v>14</v>
      </c>
      <c r="Q72" s="3">
        <v>1</v>
      </c>
      <c r="R72" s="43">
        <f>VLOOKUP('7'!O72,Malzemeler!C:D,2,0)</f>
        <v>0</v>
      </c>
      <c r="S72" s="43">
        <f t="shared" si="3"/>
        <v>0</v>
      </c>
    </row>
    <row r="73" spans="2:19" x14ac:dyDescent="0.35">
      <c r="B73" s="1">
        <v>7</v>
      </c>
      <c r="C73" s="1" t="s">
        <v>698</v>
      </c>
      <c r="D73" s="1" t="s">
        <v>698</v>
      </c>
      <c r="E73" s="1" t="s">
        <v>698</v>
      </c>
      <c r="F73" s="1" t="s">
        <v>698</v>
      </c>
      <c r="G73" s="1" t="s">
        <v>698</v>
      </c>
      <c r="H73" s="1" t="s">
        <v>698</v>
      </c>
      <c r="I73" s="1" t="s">
        <v>698</v>
      </c>
      <c r="J73" s="1">
        <f t="shared" si="2"/>
        <v>1</v>
      </c>
      <c r="L73" s="1" t="s">
        <v>722</v>
      </c>
      <c r="M73" s="7">
        <v>71</v>
      </c>
      <c r="N73" s="5" t="s">
        <v>593</v>
      </c>
      <c r="O73" s="3" t="s">
        <v>592</v>
      </c>
      <c r="P73" s="3" t="s">
        <v>14</v>
      </c>
      <c r="Q73" s="3">
        <v>1</v>
      </c>
      <c r="R73" s="43">
        <f>VLOOKUP('7'!O73,Malzemeler!C:D,2,0)</f>
        <v>0</v>
      </c>
      <c r="S73" s="43">
        <f t="shared" si="3"/>
        <v>0</v>
      </c>
    </row>
    <row r="74" spans="2:19" x14ac:dyDescent="0.35">
      <c r="B74" s="1">
        <v>7</v>
      </c>
      <c r="C74" s="1" t="s">
        <v>698</v>
      </c>
      <c r="D74" s="1" t="s">
        <v>698</v>
      </c>
      <c r="E74" s="1" t="s">
        <v>698</v>
      </c>
      <c r="F74" s="1" t="s">
        <v>698</v>
      </c>
      <c r="G74" s="1" t="s">
        <v>698</v>
      </c>
      <c r="H74" s="1" t="s">
        <v>698</v>
      </c>
      <c r="I74" s="1" t="s">
        <v>698</v>
      </c>
      <c r="J74" s="1">
        <f t="shared" si="2"/>
        <v>1</v>
      </c>
      <c r="L74" s="1" t="s">
        <v>722</v>
      </c>
      <c r="M74" s="7">
        <v>72</v>
      </c>
      <c r="N74" s="5" t="s">
        <v>594</v>
      </c>
      <c r="O74" s="3" t="s">
        <v>595</v>
      </c>
      <c r="P74" s="3" t="s">
        <v>14</v>
      </c>
      <c r="Q74" s="3">
        <v>1</v>
      </c>
      <c r="R74" s="43">
        <f>VLOOKUP('7'!O74,Malzemeler!C:D,2,0)</f>
        <v>0</v>
      </c>
      <c r="S74" s="43">
        <f t="shared" si="3"/>
        <v>0</v>
      </c>
    </row>
    <row r="75" spans="2:19" x14ac:dyDescent="0.35">
      <c r="B75" s="1">
        <v>7</v>
      </c>
      <c r="C75" s="1" t="s">
        <v>698</v>
      </c>
      <c r="D75" s="1" t="s">
        <v>698</v>
      </c>
      <c r="E75" s="1" t="s">
        <v>698</v>
      </c>
      <c r="F75" s="1" t="s">
        <v>698</v>
      </c>
      <c r="G75" s="1" t="s">
        <v>698</v>
      </c>
      <c r="H75" s="1" t="s">
        <v>698</v>
      </c>
      <c r="I75" s="1" t="s">
        <v>698</v>
      </c>
      <c r="J75" s="1">
        <f t="shared" si="2"/>
        <v>1</v>
      </c>
      <c r="L75" s="1" t="s">
        <v>722</v>
      </c>
      <c r="M75" s="7">
        <v>73</v>
      </c>
      <c r="N75" s="5" t="s">
        <v>598</v>
      </c>
      <c r="O75" s="3" t="s">
        <v>597</v>
      </c>
      <c r="P75" s="3" t="s">
        <v>14</v>
      </c>
      <c r="Q75" s="3">
        <v>2</v>
      </c>
      <c r="R75" s="43">
        <f>VLOOKUP('7'!O75,Malzemeler!C:D,2,0)</f>
        <v>0</v>
      </c>
      <c r="S75" s="43">
        <f t="shared" si="3"/>
        <v>0</v>
      </c>
    </row>
    <row r="76" spans="2:19" x14ac:dyDescent="0.35">
      <c r="B76" s="1">
        <v>7</v>
      </c>
      <c r="C76" s="1" t="s">
        <v>698</v>
      </c>
      <c r="D76" s="1" t="s">
        <v>698</v>
      </c>
      <c r="E76" s="1" t="s">
        <v>698</v>
      </c>
      <c r="F76" s="1" t="s">
        <v>698</v>
      </c>
      <c r="G76" s="1" t="s">
        <v>698</v>
      </c>
      <c r="H76" s="1" t="s">
        <v>698</v>
      </c>
      <c r="I76" s="1" t="s">
        <v>698</v>
      </c>
      <c r="J76" s="1">
        <f t="shared" si="2"/>
        <v>1</v>
      </c>
      <c r="L76" s="1" t="s">
        <v>722</v>
      </c>
      <c r="M76" s="7">
        <v>74</v>
      </c>
      <c r="N76" s="5" t="s">
        <v>147</v>
      </c>
      <c r="O76" s="3" t="s">
        <v>263</v>
      </c>
      <c r="P76" s="3" t="s">
        <v>14</v>
      </c>
      <c r="Q76" s="3">
        <v>1</v>
      </c>
      <c r="R76" s="43">
        <f>VLOOKUP('7'!O76,Malzemeler!C:D,2,0)</f>
        <v>20</v>
      </c>
      <c r="S76" s="43">
        <f t="shared" si="3"/>
        <v>20</v>
      </c>
    </row>
    <row r="77" spans="2:19" x14ac:dyDescent="0.35">
      <c r="B77" s="1">
        <v>7</v>
      </c>
      <c r="C77" s="1" t="s">
        <v>698</v>
      </c>
      <c r="D77" s="1" t="s">
        <v>698</v>
      </c>
      <c r="E77" s="1" t="s">
        <v>698</v>
      </c>
      <c r="F77" s="1" t="s">
        <v>698</v>
      </c>
      <c r="G77" s="1" t="s">
        <v>698</v>
      </c>
      <c r="H77" s="1" t="s">
        <v>698</v>
      </c>
      <c r="I77" s="1" t="s">
        <v>698</v>
      </c>
      <c r="J77" s="1">
        <f t="shared" si="2"/>
        <v>1</v>
      </c>
      <c r="L77" s="1" t="s">
        <v>722</v>
      </c>
      <c r="M77" s="7">
        <v>75</v>
      </c>
      <c r="N77" s="5" t="s">
        <v>53</v>
      </c>
      <c r="O77" s="3" t="s">
        <v>56</v>
      </c>
      <c r="P77" s="3" t="s">
        <v>14</v>
      </c>
      <c r="Q77" s="3">
        <v>3</v>
      </c>
      <c r="R77" s="43">
        <f>VLOOKUP('7'!O77,Malzemeler!C:D,2,0)</f>
        <v>65.58</v>
      </c>
      <c r="S77" s="43">
        <f t="shared" si="3"/>
        <v>196.74</v>
      </c>
    </row>
    <row r="78" spans="2:19" x14ac:dyDescent="0.35">
      <c r="B78" s="1">
        <v>7</v>
      </c>
      <c r="C78" s="1" t="s">
        <v>698</v>
      </c>
      <c r="D78" s="1" t="s">
        <v>698</v>
      </c>
      <c r="E78" s="1" t="s">
        <v>698</v>
      </c>
      <c r="F78" s="1" t="s">
        <v>698</v>
      </c>
      <c r="G78" s="1" t="s">
        <v>698</v>
      </c>
      <c r="H78" s="1" t="s">
        <v>698</v>
      </c>
      <c r="I78" s="1" t="s">
        <v>698</v>
      </c>
      <c r="J78" s="1">
        <f t="shared" si="2"/>
        <v>1</v>
      </c>
      <c r="L78" s="1" t="s">
        <v>722</v>
      </c>
      <c r="M78" s="7">
        <v>76</v>
      </c>
      <c r="N78" s="5" t="s">
        <v>589</v>
      </c>
      <c r="O78" s="3" t="s">
        <v>596</v>
      </c>
      <c r="P78" s="3" t="s">
        <v>14</v>
      </c>
      <c r="Q78" s="3">
        <v>1</v>
      </c>
      <c r="R78" s="43">
        <f>VLOOKUP('7'!O78,Malzemeler!C:D,2,0)</f>
        <v>59.21</v>
      </c>
      <c r="S78" s="43">
        <f t="shared" si="3"/>
        <v>59.21</v>
      </c>
    </row>
    <row r="79" spans="2:19" x14ac:dyDescent="0.35">
      <c r="B79" s="1">
        <v>7</v>
      </c>
      <c r="C79" s="1" t="s">
        <v>698</v>
      </c>
      <c r="D79" s="1" t="s">
        <v>698</v>
      </c>
      <c r="E79" s="1" t="s">
        <v>698</v>
      </c>
      <c r="F79" s="1" t="s">
        <v>698</v>
      </c>
      <c r="G79" s="1" t="s">
        <v>698</v>
      </c>
      <c r="H79" s="1" t="s">
        <v>698</v>
      </c>
      <c r="I79" s="1" t="s">
        <v>698</v>
      </c>
      <c r="J79" s="1">
        <f t="shared" si="2"/>
        <v>1</v>
      </c>
      <c r="L79" s="1" t="s">
        <v>722</v>
      </c>
      <c r="M79" s="7">
        <v>77</v>
      </c>
      <c r="N79" s="5" t="s">
        <v>54</v>
      </c>
      <c r="O79" s="3" t="s">
        <v>57</v>
      </c>
      <c r="P79" s="3" t="s">
        <v>14</v>
      </c>
      <c r="Q79" s="3">
        <v>1</v>
      </c>
      <c r="R79" s="43">
        <f>VLOOKUP('7'!O79,Malzemeler!C:D,2,0)</f>
        <v>77.55</v>
      </c>
      <c r="S79" s="43">
        <f t="shared" si="3"/>
        <v>77.55</v>
      </c>
    </row>
    <row r="80" spans="2:19" x14ac:dyDescent="0.35">
      <c r="B80" s="1">
        <v>7</v>
      </c>
      <c r="C80" s="1" t="s">
        <v>698</v>
      </c>
      <c r="D80" s="1" t="s">
        <v>698</v>
      </c>
      <c r="E80" s="1" t="s">
        <v>698</v>
      </c>
      <c r="F80" s="1" t="s">
        <v>698</v>
      </c>
      <c r="G80" s="1" t="s">
        <v>698</v>
      </c>
      <c r="H80" s="1" t="s">
        <v>698</v>
      </c>
      <c r="I80" s="1" t="s">
        <v>698</v>
      </c>
      <c r="J80" s="1">
        <f t="shared" si="2"/>
        <v>1</v>
      </c>
      <c r="L80" s="1" t="s">
        <v>722</v>
      </c>
      <c r="M80" s="7">
        <v>78</v>
      </c>
      <c r="N80" s="6" t="s">
        <v>58</v>
      </c>
      <c r="O80" s="3" t="s">
        <v>59</v>
      </c>
      <c r="P80" s="3" t="s">
        <v>14</v>
      </c>
      <c r="Q80" s="3">
        <v>1</v>
      </c>
      <c r="R80" s="43">
        <f>VLOOKUP('7'!O80,Malzemeler!C:D,2,0)</f>
        <v>54.45</v>
      </c>
      <c r="S80" s="43">
        <f t="shared" si="3"/>
        <v>54.45</v>
      </c>
    </row>
    <row r="81" spans="2:19" x14ac:dyDescent="0.35">
      <c r="B81" s="1">
        <v>7</v>
      </c>
      <c r="C81" s="1" t="s">
        <v>698</v>
      </c>
      <c r="D81" s="1" t="s">
        <v>698</v>
      </c>
      <c r="E81" s="1" t="s">
        <v>698</v>
      </c>
      <c r="F81" s="1" t="s">
        <v>698</v>
      </c>
      <c r="G81" s="1" t="s">
        <v>698</v>
      </c>
      <c r="H81" s="1" t="s">
        <v>698</v>
      </c>
      <c r="I81" s="1" t="s">
        <v>698</v>
      </c>
      <c r="J81" s="1">
        <f t="shared" si="2"/>
        <v>1</v>
      </c>
      <c r="L81" s="1" t="s">
        <v>722</v>
      </c>
      <c r="M81" s="7">
        <v>79</v>
      </c>
      <c r="N81" s="5" t="s">
        <v>55</v>
      </c>
      <c r="O81" s="3" t="s">
        <v>60</v>
      </c>
      <c r="P81" s="3" t="s">
        <v>14</v>
      </c>
      <c r="Q81" s="3">
        <v>2</v>
      </c>
      <c r="R81" s="43">
        <f>VLOOKUP('7'!O81,Malzemeler!C:D,2,0)</f>
        <v>0</v>
      </c>
      <c r="S81" s="43">
        <f t="shared" si="3"/>
        <v>0</v>
      </c>
    </row>
    <row r="82" spans="2:19" x14ac:dyDescent="0.35">
      <c r="B82" s="1">
        <v>7</v>
      </c>
      <c r="C82" s="1" t="s">
        <v>698</v>
      </c>
      <c r="D82" s="1" t="s">
        <v>698</v>
      </c>
      <c r="E82" s="1" t="s">
        <v>698</v>
      </c>
      <c r="F82" s="1" t="s">
        <v>698</v>
      </c>
      <c r="G82" s="1" t="s">
        <v>698</v>
      </c>
      <c r="H82" s="1" t="s">
        <v>698</v>
      </c>
      <c r="I82" s="1" t="s">
        <v>698</v>
      </c>
      <c r="J82" s="1">
        <f t="shared" si="2"/>
        <v>1</v>
      </c>
      <c r="L82" s="1" t="s">
        <v>722</v>
      </c>
      <c r="M82" s="7">
        <v>80</v>
      </c>
      <c r="N82" s="1" t="s">
        <v>681</v>
      </c>
      <c r="O82" s="3" t="s">
        <v>690</v>
      </c>
      <c r="P82" s="3" t="s">
        <v>14</v>
      </c>
      <c r="Q82" s="3">
        <v>1</v>
      </c>
      <c r="R82" s="43">
        <f>VLOOKUP('7'!O82,Malzemeler!C:D,2,0)</f>
        <v>0</v>
      </c>
      <c r="S82" s="43">
        <f t="shared" si="3"/>
        <v>0</v>
      </c>
    </row>
    <row r="83" spans="2:19" x14ac:dyDescent="0.35">
      <c r="B83" s="1">
        <v>7</v>
      </c>
      <c r="C83" s="1" t="s">
        <v>698</v>
      </c>
      <c r="D83" s="1" t="s">
        <v>698</v>
      </c>
      <c r="E83" s="1" t="s">
        <v>698</v>
      </c>
      <c r="F83" s="1" t="s">
        <v>698</v>
      </c>
      <c r="G83" s="1" t="s">
        <v>698</v>
      </c>
      <c r="H83" s="1" t="s">
        <v>698</v>
      </c>
      <c r="I83" s="1" t="s">
        <v>698</v>
      </c>
      <c r="J83" s="1">
        <f t="shared" si="2"/>
        <v>1</v>
      </c>
      <c r="L83" s="1" t="s">
        <v>722</v>
      </c>
      <c r="M83" s="7">
        <v>81</v>
      </c>
      <c r="N83" s="1" t="s">
        <v>624</v>
      </c>
      <c r="O83" s="3" t="s">
        <v>625</v>
      </c>
      <c r="P83" s="3" t="s">
        <v>14</v>
      </c>
      <c r="Q83" s="3">
        <v>1</v>
      </c>
      <c r="R83" s="43">
        <f>VLOOKUP('7'!O83,Malzemeler!C:D,2,0)</f>
        <v>0</v>
      </c>
      <c r="S83" s="43">
        <f t="shared" si="3"/>
        <v>0</v>
      </c>
    </row>
    <row r="84" spans="2:19" x14ac:dyDescent="0.35">
      <c r="B84" s="1">
        <v>7</v>
      </c>
      <c r="C84" s="1" t="s">
        <v>698</v>
      </c>
      <c r="D84" s="1" t="s">
        <v>698</v>
      </c>
      <c r="E84" s="1" t="s">
        <v>698</v>
      </c>
      <c r="F84" s="1" t="s">
        <v>698</v>
      </c>
      <c r="G84" s="1" t="s">
        <v>698</v>
      </c>
      <c r="H84" s="1" t="s">
        <v>698</v>
      </c>
      <c r="I84" s="1" t="s">
        <v>698</v>
      </c>
      <c r="J84" s="1">
        <f t="shared" ref="J84:J86" si="4">SUBTOTAL(103,B84)</f>
        <v>1</v>
      </c>
      <c r="L84" s="1" t="s">
        <v>722</v>
      </c>
      <c r="M84" s="7">
        <v>82</v>
      </c>
      <c r="N84" s="1" t="s">
        <v>750</v>
      </c>
      <c r="O84" s="3" t="s">
        <v>753</v>
      </c>
      <c r="P84" s="3" t="s">
        <v>135</v>
      </c>
      <c r="Q84" s="3">
        <v>21</v>
      </c>
      <c r="R84" s="43">
        <f>VLOOKUP('7'!O84,Malzemeler!C:D,2,0)</f>
        <v>0</v>
      </c>
      <c r="S84" s="43">
        <f t="shared" ref="S84:S86" si="5">+R84*Q84</f>
        <v>0</v>
      </c>
    </row>
    <row r="85" spans="2:19" x14ac:dyDescent="0.35">
      <c r="B85" s="1">
        <v>7</v>
      </c>
      <c r="C85" s="1" t="s">
        <v>698</v>
      </c>
      <c r="D85" s="1" t="s">
        <v>698</v>
      </c>
      <c r="E85" s="1" t="s">
        <v>698</v>
      </c>
      <c r="F85" s="1" t="s">
        <v>698</v>
      </c>
      <c r="G85" s="1" t="s">
        <v>698</v>
      </c>
      <c r="H85" s="1" t="s">
        <v>698</v>
      </c>
      <c r="I85" s="1" t="s">
        <v>698</v>
      </c>
      <c r="J85" s="1">
        <f t="shared" si="4"/>
        <v>1</v>
      </c>
      <c r="L85" s="1" t="s">
        <v>722</v>
      </c>
      <c r="M85" s="7">
        <v>83</v>
      </c>
      <c r="N85" s="1" t="s">
        <v>751</v>
      </c>
      <c r="O85" s="3" t="s">
        <v>754</v>
      </c>
      <c r="P85" s="3" t="s">
        <v>135</v>
      </c>
      <c r="Q85" s="3">
        <v>81</v>
      </c>
      <c r="R85" s="43">
        <f>VLOOKUP('7'!O85,Malzemeler!C:D,2,0)</f>
        <v>0</v>
      </c>
      <c r="S85" s="43">
        <f t="shared" si="5"/>
        <v>0</v>
      </c>
    </row>
    <row r="86" spans="2:19" x14ac:dyDescent="0.35">
      <c r="B86" s="1">
        <v>7</v>
      </c>
      <c r="C86" s="1" t="s">
        <v>698</v>
      </c>
      <c r="D86" s="1" t="s">
        <v>698</v>
      </c>
      <c r="E86" s="1" t="s">
        <v>698</v>
      </c>
      <c r="F86" s="1" t="s">
        <v>698</v>
      </c>
      <c r="G86" s="1" t="s">
        <v>698</v>
      </c>
      <c r="H86" s="1" t="s">
        <v>698</v>
      </c>
      <c r="I86" s="1" t="s">
        <v>698</v>
      </c>
      <c r="J86" s="1">
        <f t="shared" si="4"/>
        <v>1</v>
      </c>
      <c r="L86" s="1" t="s">
        <v>722</v>
      </c>
      <c r="M86" s="7">
        <v>84</v>
      </c>
      <c r="N86" s="1" t="s">
        <v>752</v>
      </c>
      <c r="O86" s="3" t="s">
        <v>755</v>
      </c>
      <c r="P86" s="3" t="s">
        <v>135</v>
      </c>
      <c r="Q86" s="3">
        <v>45</v>
      </c>
      <c r="R86" s="43">
        <f>VLOOKUP('7'!O86,Malzemeler!C:D,2,0)</f>
        <v>0</v>
      </c>
      <c r="S86" s="43">
        <f t="shared" si="5"/>
        <v>0</v>
      </c>
    </row>
    <row r="87" spans="2:19" x14ac:dyDescent="0.35">
      <c r="B87" s="1">
        <v>7</v>
      </c>
      <c r="C87" s="1" t="s">
        <v>698</v>
      </c>
      <c r="D87" s="1" t="s">
        <v>698</v>
      </c>
      <c r="E87" s="1" t="s">
        <v>698</v>
      </c>
      <c r="F87" s="1" t="s">
        <v>698</v>
      </c>
      <c r="G87" s="1" t="s">
        <v>698</v>
      </c>
      <c r="H87" s="1" t="s">
        <v>698</v>
      </c>
      <c r="I87" s="1">
        <v>1</v>
      </c>
      <c r="J87" s="1">
        <f t="shared" ref="J87" si="6">SUBTOTAL(103,B87)</f>
        <v>1</v>
      </c>
      <c r="L87" s="1" t="s">
        <v>721</v>
      </c>
      <c r="M87" s="7">
        <v>1</v>
      </c>
      <c r="N87" s="5" t="s">
        <v>668</v>
      </c>
      <c r="O87" s="3" t="s">
        <v>669</v>
      </c>
      <c r="P87" s="3" t="s">
        <v>14</v>
      </c>
      <c r="Q87" s="3">
        <v>1</v>
      </c>
      <c r="R87" s="43">
        <f>VLOOKUP('7'!O87,Malzemeler!C:D,2,0)</f>
        <v>0</v>
      </c>
      <c r="S87" s="43">
        <f t="shared" si="3"/>
        <v>0</v>
      </c>
    </row>
  </sheetData>
  <phoneticPr fontId="11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4C8A5-3050-495F-B0F2-772269407BDC}">
  <sheetPr codeName="Sayfa5"/>
  <dimension ref="A1:XFA90"/>
  <sheetViews>
    <sheetView topLeftCell="A54" zoomScale="85" zoomScaleNormal="85" workbookViewId="0">
      <selection activeCell="R86" sqref="R86:S89"/>
    </sheetView>
  </sheetViews>
  <sheetFormatPr defaultColWidth="8.6640625" defaultRowHeight="15" x14ac:dyDescent="0.35"/>
  <cols>
    <col min="1" max="1" width="5.21875" style="1" customWidth="1"/>
    <col min="2" max="2" width="6.6640625" style="1" bestFit="1" customWidth="1"/>
    <col min="3" max="3" width="5.21875" style="1" customWidth="1"/>
    <col min="4" max="4" width="13.77734375" style="1" bestFit="1" customWidth="1"/>
    <col min="5" max="5" width="11.5546875" style="1" bestFit="1" customWidth="1"/>
    <col min="6" max="6" width="16.77734375" style="1" bestFit="1" customWidth="1"/>
    <col min="7" max="7" width="9.6640625" style="1" bestFit="1" customWidth="1"/>
    <col min="8" max="8" width="8.44140625" style="1" bestFit="1" customWidth="1"/>
    <col min="9" max="9" width="6.77734375" style="1" bestFit="1" customWidth="1"/>
    <col min="10" max="11" width="5.21875" style="1" customWidth="1"/>
    <col min="12" max="12" width="15.77734375" style="1" customWidth="1"/>
    <col min="13" max="13" width="4.21875" style="2" customWidth="1"/>
    <col min="14" max="14" width="89.77734375" style="1" customWidth="1"/>
    <col min="15" max="15" width="18" style="3" bestFit="1" customWidth="1"/>
    <col min="16" max="16" width="6.88671875" style="1" bestFit="1" customWidth="1"/>
    <col min="17" max="17" width="8.88671875" style="1" bestFit="1" customWidth="1"/>
    <col min="18" max="18" width="13.109375" style="43" bestFit="1" customWidth="1"/>
    <col min="19" max="19" width="15.77734375" style="43" bestFit="1" customWidth="1"/>
    <col min="20" max="16384" width="8.6640625" style="1"/>
  </cols>
  <sheetData>
    <row r="1" spans="2:19" ht="16.2" x14ac:dyDescent="0.35">
      <c r="B1" s="5" t="s">
        <v>493</v>
      </c>
      <c r="C1" s="5" t="s">
        <v>571</v>
      </c>
      <c r="D1" s="5" t="s">
        <v>569</v>
      </c>
      <c r="E1" s="5" t="s">
        <v>570</v>
      </c>
      <c r="F1" s="5" t="s">
        <v>581</v>
      </c>
      <c r="G1" s="5" t="s">
        <v>599</v>
      </c>
      <c r="H1" s="5" t="s">
        <v>600</v>
      </c>
      <c r="I1" s="5" t="s">
        <v>601</v>
      </c>
      <c r="N1" s="74" t="s">
        <v>150</v>
      </c>
    </row>
    <row r="2" spans="2:19" x14ac:dyDescent="0.35">
      <c r="M2" s="8" t="s">
        <v>1</v>
      </c>
      <c r="N2" s="9" t="s">
        <v>2</v>
      </c>
      <c r="O2" s="9" t="s">
        <v>3</v>
      </c>
      <c r="P2" s="9" t="s">
        <v>4</v>
      </c>
      <c r="Q2" s="9" t="s">
        <v>5</v>
      </c>
      <c r="R2" s="9" t="s">
        <v>739</v>
      </c>
      <c r="S2" s="9" t="s">
        <v>740</v>
      </c>
    </row>
    <row r="3" spans="2:19" x14ac:dyDescent="0.35">
      <c r="B3" s="1">
        <v>11</v>
      </c>
      <c r="C3" s="1" t="s">
        <v>698</v>
      </c>
      <c r="D3" s="1" t="s">
        <v>698</v>
      </c>
      <c r="E3" s="1" t="s">
        <v>698</v>
      </c>
      <c r="F3" s="1" t="s">
        <v>698</v>
      </c>
      <c r="G3" s="1" t="s">
        <v>698</v>
      </c>
      <c r="H3" s="1" t="s">
        <v>698</v>
      </c>
      <c r="I3" s="1" t="s">
        <v>698</v>
      </c>
      <c r="J3" s="1">
        <f t="shared" ref="J3:J20" si="0">SUBTOTAL(103,B3)</f>
        <v>1</v>
      </c>
      <c r="L3" s="1" t="s">
        <v>723</v>
      </c>
      <c r="M3" s="7">
        <v>1</v>
      </c>
      <c r="N3" s="75" t="s">
        <v>733</v>
      </c>
      <c r="O3" s="76" t="s">
        <v>734</v>
      </c>
      <c r="P3" s="3" t="s">
        <v>14</v>
      </c>
      <c r="Q3" s="3">
        <v>1</v>
      </c>
      <c r="R3" s="43">
        <f>VLOOKUP('11'!O3,Malzemeler!C:D,2,0)</f>
        <v>629.96</v>
      </c>
      <c r="S3" s="43">
        <f t="shared" ref="S3:S20" si="1">+R3*Q3</f>
        <v>629.96</v>
      </c>
    </row>
    <row r="4" spans="2:19" x14ac:dyDescent="0.35">
      <c r="B4" s="1">
        <v>11</v>
      </c>
      <c r="C4" s="1" t="s">
        <v>698</v>
      </c>
      <c r="D4" s="1" t="s">
        <v>698</v>
      </c>
      <c r="E4" s="1" t="s">
        <v>698</v>
      </c>
      <c r="F4" s="1" t="s">
        <v>698</v>
      </c>
      <c r="G4" s="1" t="s">
        <v>698</v>
      </c>
      <c r="H4" s="1" t="s">
        <v>698</v>
      </c>
      <c r="I4" s="1" t="s">
        <v>698</v>
      </c>
      <c r="J4" s="1">
        <f t="shared" si="0"/>
        <v>1</v>
      </c>
      <c r="L4" s="1" t="s">
        <v>723</v>
      </c>
      <c r="M4" s="7">
        <v>2</v>
      </c>
      <c r="N4" s="5" t="s">
        <v>151</v>
      </c>
      <c r="O4" s="3" t="s">
        <v>549</v>
      </c>
      <c r="P4" s="3" t="s">
        <v>14</v>
      </c>
      <c r="Q4" s="3">
        <v>1</v>
      </c>
      <c r="R4" s="43">
        <f>VLOOKUP('11'!O4,Malzemeler!C:D,2,0)</f>
        <v>40.708500000000001</v>
      </c>
      <c r="S4" s="43">
        <f t="shared" si="1"/>
        <v>40.708500000000001</v>
      </c>
    </row>
    <row r="5" spans="2:19" x14ac:dyDescent="0.35">
      <c r="B5" s="1">
        <v>11</v>
      </c>
      <c r="C5" s="1" t="s">
        <v>698</v>
      </c>
      <c r="D5" s="1" t="s">
        <v>698</v>
      </c>
      <c r="E5" s="1" t="s">
        <v>698</v>
      </c>
      <c r="F5" s="1" t="s">
        <v>698</v>
      </c>
      <c r="G5" s="1" t="s">
        <v>698</v>
      </c>
      <c r="H5" s="1" t="s">
        <v>698</v>
      </c>
      <c r="I5" s="1" t="s">
        <v>698</v>
      </c>
      <c r="J5" s="1">
        <f t="shared" si="0"/>
        <v>1</v>
      </c>
      <c r="L5" s="1" t="s">
        <v>723</v>
      </c>
      <c r="M5" s="7">
        <v>3</v>
      </c>
      <c r="N5" s="5" t="s">
        <v>9</v>
      </c>
      <c r="O5" s="3" t="s">
        <v>10</v>
      </c>
      <c r="P5" s="3" t="s">
        <v>14</v>
      </c>
      <c r="Q5" s="3">
        <v>1</v>
      </c>
      <c r="R5" s="43">
        <f>VLOOKUP('11'!O5,Malzemeler!C:D,2,0)</f>
        <v>60</v>
      </c>
      <c r="S5" s="43">
        <f t="shared" si="1"/>
        <v>60</v>
      </c>
    </row>
    <row r="6" spans="2:19" x14ac:dyDescent="0.35">
      <c r="B6" s="1">
        <v>11</v>
      </c>
      <c r="C6" s="1" t="s">
        <v>698</v>
      </c>
      <c r="D6" s="1" t="s">
        <v>698</v>
      </c>
      <c r="E6" s="1" t="s">
        <v>698</v>
      </c>
      <c r="F6" s="1" t="s">
        <v>698</v>
      </c>
      <c r="G6" s="1" t="s">
        <v>698</v>
      </c>
      <c r="H6" s="1" t="s">
        <v>698</v>
      </c>
      <c r="I6" s="1" t="s">
        <v>698</v>
      </c>
      <c r="J6" s="1">
        <f t="shared" si="0"/>
        <v>1</v>
      </c>
      <c r="L6" s="1" t="s">
        <v>723</v>
      </c>
      <c r="M6" s="7">
        <v>4</v>
      </c>
      <c r="N6" s="5" t="s">
        <v>11</v>
      </c>
      <c r="O6" s="3" t="s">
        <v>12</v>
      </c>
      <c r="P6" s="3" t="s">
        <v>14</v>
      </c>
      <c r="Q6" s="3">
        <v>1</v>
      </c>
      <c r="R6" s="43">
        <f>VLOOKUP('11'!O6,Malzemeler!C:D,2,0)</f>
        <v>12.8</v>
      </c>
      <c r="S6" s="43">
        <f t="shared" si="1"/>
        <v>12.8</v>
      </c>
    </row>
    <row r="7" spans="2:19" x14ac:dyDescent="0.35">
      <c r="B7" s="1">
        <v>11</v>
      </c>
      <c r="C7" s="1" t="s">
        <v>698</v>
      </c>
      <c r="D7" s="1" t="s">
        <v>698</v>
      </c>
      <c r="E7" s="1" t="s">
        <v>698</v>
      </c>
      <c r="F7" s="1" t="s">
        <v>698</v>
      </c>
      <c r="G7" s="1" t="s">
        <v>698</v>
      </c>
      <c r="H7" s="1" t="s">
        <v>698</v>
      </c>
      <c r="I7" s="1" t="s">
        <v>698</v>
      </c>
      <c r="J7" s="1">
        <f t="shared" si="0"/>
        <v>1</v>
      </c>
      <c r="L7" s="1" t="s">
        <v>723</v>
      </c>
      <c r="M7" s="7">
        <v>5</v>
      </c>
      <c r="N7" s="5" t="s">
        <v>153</v>
      </c>
      <c r="O7" s="3" t="s">
        <v>500</v>
      </c>
      <c r="P7" s="3" t="s">
        <v>14</v>
      </c>
      <c r="Q7" s="3">
        <v>4</v>
      </c>
      <c r="R7" s="43">
        <f>VLOOKUP('11'!O7,Malzemeler!C:D,2,0)</f>
        <v>14</v>
      </c>
      <c r="S7" s="43">
        <f t="shared" si="1"/>
        <v>56</v>
      </c>
    </row>
    <row r="8" spans="2:19" x14ac:dyDescent="0.35">
      <c r="B8" s="1">
        <v>11</v>
      </c>
      <c r="C8" s="1" t="s">
        <v>698</v>
      </c>
      <c r="D8" s="1" t="s">
        <v>698</v>
      </c>
      <c r="E8" s="1" t="s">
        <v>698</v>
      </c>
      <c r="F8" s="1" t="s">
        <v>698</v>
      </c>
      <c r="G8" s="1" t="s">
        <v>698</v>
      </c>
      <c r="H8" s="1" t="s">
        <v>698</v>
      </c>
      <c r="I8" s="1" t="s">
        <v>698</v>
      </c>
      <c r="J8" s="1">
        <f t="shared" si="0"/>
        <v>1</v>
      </c>
      <c r="L8" s="1" t="s">
        <v>723</v>
      </c>
      <c r="M8" s="7">
        <v>6</v>
      </c>
      <c r="N8" s="5" t="s">
        <v>152</v>
      </c>
      <c r="O8" s="3" t="s">
        <v>503</v>
      </c>
      <c r="P8" s="3" t="s">
        <v>14</v>
      </c>
      <c r="Q8" s="3">
        <v>1</v>
      </c>
      <c r="R8" s="43">
        <f>VLOOKUP('11'!O8,Malzemeler!C:D,2,0)</f>
        <v>10.8</v>
      </c>
      <c r="S8" s="43">
        <f t="shared" si="1"/>
        <v>10.8</v>
      </c>
    </row>
    <row r="9" spans="2:19" x14ac:dyDescent="0.35">
      <c r="B9" s="1">
        <v>11</v>
      </c>
      <c r="C9" s="1" t="s">
        <v>698</v>
      </c>
      <c r="D9" s="1" t="s">
        <v>698</v>
      </c>
      <c r="E9" s="1" t="s">
        <v>698</v>
      </c>
      <c r="F9" s="1" t="s">
        <v>698</v>
      </c>
      <c r="G9" s="1" t="s">
        <v>698</v>
      </c>
      <c r="H9" s="1" t="s">
        <v>698</v>
      </c>
      <c r="I9" s="1" t="s">
        <v>698</v>
      </c>
      <c r="J9" s="1">
        <f t="shared" si="0"/>
        <v>1</v>
      </c>
      <c r="L9" s="1" t="s">
        <v>723</v>
      </c>
      <c r="M9" s="7">
        <v>7</v>
      </c>
      <c r="N9" s="5" t="s">
        <v>154</v>
      </c>
      <c r="O9" s="3" t="s">
        <v>510</v>
      </c>
      <c r="P9" s="3" t="s">
        <v>14</v>
      </c>
      <c r="Q9" s="3">
        <v>1</v>
      </c>
      <c r="R9" s="43">
        <f>VLOOKUP('11'!O9,Malzemeler!C:D,2,0)</f>
        <v>10.8</v>
      </c>
      <c r="S9" s="43">
        <f t="shared" si="1"/>
        <v>10.8</v>
      </c>
    </row>
    <row r="10" spans="2:19" x14ac:dyDescent="0.35">
      <c r="B10" s="1">
        <v>11</v>
      </c>
      <c r="C10" s="1" t="s">
        <v>698</v>
      </c>
      <c r="D10" s="1" t="s">
        <v>698</v>
      </c>
      <c r="E10" s="1" t="s">
        <v>698</v>
      </c>
      <c r="F10" s="1" t="s">
        <v>698</v>
      </c>
      <c r="G10" s="1" t="s">
        <v>698</v>
      </c>
      <c r="H10" s="1" t="s">
        <v>698</v>
      </c>
      <c r="I10" s="1" t="s">
        <v>698</v>
      </c>
      <c r="J10" s="1">
        <f t="shared" si="0"/>
        <v>1</v>
      </c>
      <c r="L10" s="1" t="s">
        <v>723</v>
      </c>
      <c r="M10" s="7">
        <v>8</v>
      </c>
      <c r="N10" s="5" t="s">
        <v>155</v>
      </c>
      <c r="O10" s="3" t="s">
        <v>516</v>
      </c>
      <c r="P10" s="3" t="s">
        <v>14</v>
      </c>
      <c r="Q10" s="3">
        <v>1</v>
      </c>
      <c r="R10" s="43">
        <f>VLOOKUP('11'!O10,Malzemeler!C:D,2,0)</f>
        <v>18</v>
      </c>
      <c r="S10" s="43">
        <f t="shared" si="1"/>
        <v>18</v>
      </c>
    </row>
    <row r="11" spans="2:19" x14ac:dyDescent="0.35">
      <c r="B11" s="1">
        <v>11</v>
      </c>
      <c r="C11" s="1" t="s">
        <v>698</v>
      </c>
      <c r="D11" s="1" t="s">
        <v>698</v>
      </c>
      <c r="E11" s="1" t="s">
        <v>698</v>
      </c>
      <c r="F11" s="1" t="s">
        <v>698</v>
      </c>
      <c r="G11" s="1" t="s">
        <v>698</v>
      </c>
      <c r="H11" s="1" t="s">
        <v>698</v>
      </c>
      <c r="I11" s="1" t="s">
        <v>698</v>
      </c>
      <c r="J11" s="1">
        <f t="shared" si="0"/>
        <v>1</v>
      </c>
      <c r="L11" s="1" t="s">
        <v>723</v>
      </c>
      <c r="M11" s="7">
        <v>9</v>
      </c>
      <c r="N11" s="5" t="s">
        <v>615</v>
      </c>
      <c r="O11" s="3" t="s">
        <v>620</v>
      </c>
      <c r="P11" s="3" t="s">
        <v>14</v>
      </c>
      <c r="Q11" s="3">
        <v>1</v>
      </c>
      <c r="R11" s="43">
        <f>VLOOKUP('11'!O11,Malzemeler!C:D,2,0)</f>
        <v>0</v>
      </c>
      <c r="S11" s="43">
        <f t="shared" si="1"/>
        <v>0</v>
      </c>
    </row>
    <row r="12" spans="2:19" x14ac:dyDescent="0.35">
      <c r="B12" s="1">
        <v>11</v>
      </c>
      <c r="C12" s="1" t="s">
        <v>698</v>
      </c>
      <c r="D12" s="1" t="s">
        <v>698</v>
      </c>
      <c r="E12" s="1" t="s">
        <v>698</v>
      </c>
      <c r="F12" s="1" t="s">
        <v>698</v>
      </c>
      <c r="G12" s="1" t="s">
        <v>698</v>
      </c>
      <c r="H12" s="1" t="s">
        <v>698</v>
      </c>
      <c r="I12" s="1" t="s">
        <v>698</v>
      </c>
      <c r="J12" s="1">
        <f t="shared" si="0"/>
        <v>1</v>
      </c>
      <c r="L12" s="1" t="s">
        <v>723</v>
      </c>
      <c r="M12" s="7">
        <v>10</v>
      </c>
      <c r="N12" s="5" t="s">
        <v>617</v>
      </c>
      <c r="O12" s="3" t="s">
        <v>622</v>
      </c>
      <c r="P12" s="3" t="s">
        <v>14</v>
      </c>
      <c r="Q12" s="3">
        <v>1</v>
      </c>
      <c r="R12" s="43">
        <f>VLOOKUP('11'!O12,Malzemeler!C:D,2,0)</f>
        <v>0</v>
      </c>
      <c r="S12" s="43">
        <f t="shared" si="1"/>
        <v>0</v>
      </c>
    </row>
    <row r="13" spans="2:19" x14ac:dyDescent="0.35">
      <c r="B13" s="1">
        <v>11</v>
      </c>
      <c r="C13" s="1" t="s">
        <v>698</v>
      </c>
      <c r="D13" s="1" t="s">
        <v>698</v>
      </c>
      <c r="E13" s="1" t="s">
        <v>698</v>
      </c>
      <c r="F13" s="1" t="s">
        <v>698</v>
      </c>
      <c r="G13" s="1" t="s">
        <v>698</v>
      </c>
      <c r="H13" s="1" t="s">
        <v>698</v>
      </c>
      <c r="I13" s="1" t="s">
        <v>698</v>
      </c>
      <c r="J13" s="1">
        <f t="shared" si="0"/>
        <v>1</v>
      </c>
      <c r="L13" s="1" t="s">
        <v>723</v>
      </c>
      <c r="M13" s="7">
        <v>11</v>
      </c>
      <c r="N13" s="5" t="s">
        <v>158</v>
      </c>
      <c r="O13" s="3" t="s">
        <v>82</v>
      </c>
      <c r="P13" s="3" t="s">
        <v>14</v>
      </c>
      <c r="Q13" s="3">
        <v>5.3</v>
      </c>
      <c r="R13" s="43">
        <f>VLOOKUP('11'!O13,Malzemeler!C:D,2,0)</f>
        <v>6.35</v>
      </c>
      <c r="S13" s="43">
        <f t="shared" si="1"/>
        <v>33.654999999999994</v>
      </c>
    </row>
    <row r="14" spans="2:19" x14ac:dyDescent="0.35">
      <c r="B14" s="1">
        <v>11</v>
      </c>
      <c r="C14" s="1" t="s">
        <v>698</v>
      </c>
      <c r="D14" s="1" t="s">
        <v>698</v>
      </c>
      <c r="E14" s="1" t="s">
        <v>698</v>
      </c>
      <c r="F14" s="1" t="s">
        <v>698</v>
      </c>
      <c r="G14" s="1" t="s">
        <v>698</v>
      </c>
      <c r="H14" s="1" t="s">
        <v>698</v>
      </c>
      <c r="I14" s="1" t="s">
        <v>698</v>
      </c>
      <c r="J14" s="1">
        <f t="shared" si="0"/>
        <v>1</v>
      </c>
      <c r="L14" s="1" t="s">
        <v>723</v>
      </c>
      <c r="M14" s="7">
        <v>12</v>
      </c>
      <c r="N14" s="5" t="s">
        <v>71</v>
      </c>
      <c r="O14" s="3" t="s">
        <v>83</v>
      </c>
      <c r="P14" s="3" t="s">
        <v>14</v>
      </c>
      <c r="Q14" s="3">
        <v>4</v>
      </c>
      <c r="R14" s="43">
        <f>VLOOKUP('11'!O14,Malzemeler!C:D,2,0)</f>
        <v>2.5</v>
      </c>
      <c r="S14" s="43">
        <f t="shared" si="1"/>
        <v>10</v>
      </c>
    </row>
    <row r="15" spans="2:19" x14ac:dyDescent="0.35">
      <c r="B15" s="1">
        <v>11</v>
      </c>
      <c r="C15" s="1" t="s">
        <v>698</v>
      </c>
      <c r="D15" s="1" t="s">
        <v>698</v>
      </c>
      <c r="E15" s="1" t="s">
        <v>698</v>
      </c>
      <c r="F15" s="1" t="s">
        <v>698</v>
      </c>
      <c r="G15" s="1" t="s">
        <v>698</v>
      </c>
      <c r="H15" s="1" t="s">
        <v>698</v>
      </c>
      <c r="I15" s="1" t="s">
        <v>698</v>
      </c>
      <c r="J15" s="1">
        <f t="shared" si="0"/>
        <v>1</v>
      </c>
      <c r="L15" s="1" t="s">
        <v>723</v>
      </c>
      <c r="M15" s="7">
        <v>13</v>
      </c>
      <c r="N15" s="5" t="s">
        <v>159</v>
      </c>
      <c r="O15" s="3" t="s">
        <v>84</v>
      </c>
      <c r="P15" s="3" t="s">
        <v>14</v>
      </c>
      <c r="Q15" s="3">
        <v>1</v>
      </c>
      <c r="R15" s="43">
        <f>VLOOKUP('11'!O15,Malzemeler!C:D,2,0)</f>
        <v>7.85</v>
      </c>
      <c r="S15" s="43">
        <f t="shared" si="1"/>
        <v>7.85</v>
      </c>
    </row>
    <row r="16" spans="2:19" x14ac:dyDescent="0.35">
      <c r="B16" s="1">
        <v>11</v>
      </c>
      <c r="C16" s="1" t="s">
        <v>698</v>
      </c>
      <c r="D16" s="1" t="s">
        <v>698</v>
      </c>
      <c r="E16" s="1" t="s">
        <v>698</v>
      </c>
      <c r="F16" s="1" t="s">
        <v>698</v>
      </c>
      <c r="G16" s="1" t="s">
        <v>698</v>
      </c>
      <c r="H16" s="1" t="s">
        <v>698</v>
      </c>
      <c r="I16" s="1" t="s">
        <v>698</v>
      </c>
      <c r="J16" s="1">
        <f t="shared" si="0"/>
        <v>1</v>
      </c>
      <c r="L16" s="1" t="s">
        <v>723</v>
      </c>
      <c r="M16" s="7">
        <v>14</v>
      </c>
      <c r="N16" s="5" t="s">
        <v>160</v>
      </c>
      <c r="O16" s="3" t="s">
        <v>73</v>
      </c>
      <c r="P16" s="3" t="s">
        <v>14</v>
      </c>
      <c r="Q16" s="3">
        <v>6.1</v>
      </c>
      <c r="R16" s="43">
        <f>VLOOKUP('11'!O16,Malzemeler!C:D,2,0)</f>
        <v>9.65</v>
      </c>
      <c r="S16" s="43">
        <f t="shared" si="1"/>
        <v>58.865000000000002</v>
      </c>
    </row>
    <row r="17" spans="1:1021 1025:2045 2049:3069 3073:4093 4097:5117 5121:6141 6145:7165 7169:8189 8193:9213 9217:10237 10241:11261 11265:12285 12289:13309 13313:14333 14337:15357 15361:16381" x14ac:dyDescent="0.35">
      <c r="B17" s="1">
        <v>11</v>
      </c>
      <c r="C17" s="1" t="s">
        <v>698</v>
      </c>
      <c r="D17" s="1" t="s">
        <v>698</v>
      </c>
      <c r="E17" s="1" t="s">
        <v>698</v>
      </c>
      <c r="F17" s="1" t="s">
        <v>698</v>
      </c>
      <c r="G17" s="1" t="s">
        <v>698</v>
      </c>
      <c r="H17" s="1" t="s">
        <v>698</v>
      </c>
      <c r="I17" s="1" t="s">
        <v>698</v>
      </c>
      <c r="J17" s="1">
        <f t="shared" si="0"/>
        <v>1</v>
      </c>
      <c r="L17" s="1" t="s">
        <v>723</v>
      </c>
      <c r="M17" s="7">
        <v>15</v>
      </c>
      <c r="N17" s="5" t="s">
        <v>161</v>
      </c>
      <c r="O17" s="3" t="s">
        <v>74</v>
      </c>
      <c r="P17" s="3" t="s">
        <v>14</v>
      </c>
      <c r="Q17" s="3">
        <v>4.3</v>
      </c>
      <c r="R17" s="43">
        <f>VLOOKUP('11'!O17,Malzemeler!C:D,2,0)</f>
        <v>16.149999999999999</v>
      </c>
      <c r="S17" s="43">
        <f t="shared" si="1"/>
        <v>69.444999999999993</v>
      </c>
    </row>
    <row r="18" spans="1:1021 1025:2045 2049:3069 3073:4093 4097:5117 5121:6141 6145:7165 7169:8189 8193:9213 9217:10237 10241:11261 11265:12285 12289:13309 13313:14333 14337:15357 15361:16381" x14ac:dyDescent="0.35">
      <c r="B18" s="1">
        <v>11</v>
      </c>
      <c r="C18" s="1" t="s">
        <v>698</v>
      </c>
      <c r="D18" s="1" t="s">
        <v>698</v>
      </c>
      <c r="E18" s="1" t="s">
        <v>698</v>
      </c>
      <c r="F18" s="1" t="s">
        <v>698</v>
      </c>
      <c r="G18" s="1" t="s">
        <v>698</v>
      </c>
      <c r="H18" s="1" t="s">
        <v>698</v>
      </c>
      <c r="I18" s="1" t="s">
        <v>698</v>
      </c>
      <c r="J18" s="1">
        <f t="shared" si="0"/>
        <v>1</v>
      </c>
      <c r="L18" s="1" t="s">
        <v>723</v>
      </c>
      <c r="M18" s="7">
        <v>16</v>
      </c>
      <c r="N18" s="5" t="s">
        <v>162</v>
      </c>
      <c r="O18" s="3" t="s">
        <v>165</v>
      </c>
      <c r="P18" s="3" t="s">
        <v>14</v>
      </c>
      <c r="Q18" s="3">
        <v>1</v>
      </c>
      <c r="R18" s="43">
        <f>VLOOKUP('11'!O18,Malzemeler!C:D,2,0)</f>
        <v>0.8</v>
      </c>
      <c r="S18" s="43">
        <f t="shared" si="1"/>
        <v>0.8</v>
      </c>
    </row>
    <row r="19" spans="1:1021 1025:2045 2049:3069 3073:4093 4097:5117 5121:6141 6145:7165 7169:8189 8193:9213 9217:10237 10241:11261 11265:12285 12289:13309 13313:14333 14337:15357 15361:16381" x14ac:dyDescent="0.35">
      <c r="B19" s="1">
        <v>11</v>
      </c>
      <c r="C19" s="1" t="s">
        <v>698</v>
      </c>
      <c r="D19" s="1" t="s">
        <v>698</v>
      </c>
      <c r="E19" s="1" t="s">
        <v>698</v>
      </c>
      <c r="F19" s="1" t="s">
        <v>698</v>
      </c>
      <c r="G19" s="1" t="s">
        <v>698</v>
      </c>
      <c r="H19" s="1" t="s">
        <v>698</v>
      </c>
      <c r="I19" s="1" t="s">
        <v>698</v>
      </c>
      <c r="J19" s="1">
        <f t="shared" si="0"/>
        <v>1</v>
      </c>
      <c r="L19" s="1" t="s">
        <v>723</v>
      </c>
      <c r="M19" s="7">
        <v>17</v>
      </c>
      <c r="N19" s="5" t="s">
        <v>163</v>
      </c>
      <c r="O19" s="3" t="s">
        <v>166</v>
      </c>
      <c r="P19" s="3" t="s">
        <v>14</v>
      </c>
      <c r="Q19" s="3">
        <v>3</v>
      </c>
      <c r="R19" s="43">
        <f>VLOOKUP('11'!O19,Malzemeler!C:D,2,0)</f>
        <v>0.3</v>
      </c>
      <c r="S19" s="43">
        <f t="shared" si="1"/>
        <v>0.89999999999999991</v>
      </c>
    </row>
    <row r="20" spans="1:1021 1025:2045 2049:3069 3073:4093 4097:5117 5121:6141 6145:7165 7169:8189 8193:9213 9217:10237 10241:11261 11265:12285 12289:13309 13313:14333 14337:15357 15361:16381" x14ac:dyDescent="0.35">
      <c r="B20" s="1">
        <v>11</v>
      </c>
      <c r="C20" s="1" t="s">
        <v>698</v>
      </c>
      <c r="D20" s="1" t="s">
        <v>698</v>
      </c>
      <c r="E20" s="1" t="s">
        <v>698</v>
      </c>
      <c r="F20" s="1" t="s">
        <v>698</v>
      </c>
      <c r="G20" s="1" t="s">
        <v>698</v>
      </c>
      <c r="H20" s="1" t="s">
        <v>698</v>
      </c>
      <c r="I20" s="1" t="s">
        <v>698</v>
      </c>
      <c r="J20" s="1">
        <f t="shared" si="0"/>
        <v>1</v>
      </c>
      <c r="L20" s="1" t="s">
        <v>723</v>
      </c>
      <c r="M20" s="7">
        <v>18</v>
      </c>
      <c r="N20" s="5" t="s">
        <v>164</v>
      </c>
      <c r="O20" s="3" t="s">
        <v>167</v>
      </c>
      <c r="P20" s="3" t="s">
        <v>14</v>
      </c>
      <c r="Q20" s="3">
        <v>6</v>
      </c>
      <c r="R20" s="43">
        <f>VLOOKUP('11'!O20,Malzemeler!C:D,2,0)</f>
        <v>0.45</v>
      </c>
      <c r="S20" s="43">
        <f t="shared" si="1"/>
        <v>2.7</v>
      </c>
    </row>
    <row r="21" spans="1:1021 1025:2045 2049:3069 3073:4093 4097:5117 5121:6141 6145:7165 7169:8189 8193:9213 9217:10237 10241:11261 11265:12285 12289:13309 13313:14333 14337:15357 15361:16381" s="61" customFormat="1" x14ac:dyDescent="0.35">
      <c r="A21" s="60"/>
      <c r="B21" s="61">
        <v>11</v>
      </c>
      <c r="C21" s="63" t="s">
        <v>698</v>
      </c>
      <c r="D21" s="63" t="s">
        <v>698</v>
      </c>
      <c r="E21" s="63" t="s">
        <v>698</v>
      </c>
      <c r="F21" s="63" t="s">
        <v>698</v>
      </c>
      <c r="G21" s="63" t="s">
        <v>698</v>
      </c>
      <c r="H21" s="63" t="s">
        <v>698</v>
      </c>
      <c r="I21" s="63" t="s">
        <v>698</v>
      </c>
      <c r="J21" s="63">
        <f t="shared" ref="J21" si="2">SUBTOTAL(103,B21)</f>
        <v>1</v>
      </c>
      <c r="K21" s="63"/>
      <c r="L21" s="63" t="s">
        <v>723</v>
      </c>
      <c r="M21" s="64">
        <v>18</v>
      </c>
      <c r="N21" s="60" t="s">
        <v>68</v>
      </c>
      <c r="O21" s="61" t="s">
        <v>80</v>
      </c>
      <c r="P21" s="61" t="s">
        <v>14</v>
      </c>
      <c r="Q21" s="61">
        <v>2</v>
      </c>
      <c r="R21" s="65">
        <f>VLOOKUP('7'!O21,Malzemeler!C:D,2,0)</f>
        <v>0.4</v>
      </c>
      <c r="S21" s="65">
        <f t="shared" ref="S21" si="3">+R21*Q21</f>
        <v>0.8</v>
      </c>
      <c r="U21" s="60"/>
      <c r="Y21" s="60"/>
      <c r="AC21" s="60"/>
      <c r="AG21" s="60"/>
      <c r="AK21" s="60"/>
      <c r="AO21" s="60"/>
      <c r="AS21" s="60"/>
      <c r="AW21" s="60"/>
      <c r="BA21" s="60"/>
      <c r="BE21" s="60"/>
      <c r="BI21" s="60"/>
      <c r="BM21" s="60"/>
      <c r="BQ21" s="60"/>
      <c r="BU21" s="60"/>
      <c r="BY21" s="60"/>
      <c r="CC21" s="60"/>
      <c r="CG21" s="60"/>
      <c r="CK21" s="60"/>
      <c r="CO21" s="60"/>
      <c r="CS21" s="60"/>
      <c r="CW21" s="60"/>
      <c r="DA21" s="60"/>
      <c r="DE21" s="60"/>
      <c r="DI21" s="60"/>
      <c r="DM21" s="60"/>
      <c r="DQ21" s="60"/>
      <c r="DU21" s="60"/>
      <c r="DY21" s="60"/>
      <c r="EC21" s="60"/>
      <c r="EG21" s="60"/>
      <c r="EK21" s="60"/>
      <c r="EO21" s="60"/>
      <c r="ES21" s="60"/>
      <c r="EW21" s="60"/>
      <c r="FA21" s="60"/>
      <c r="FE21" s="60"/>
      <c r="FI21" s="60"/>
      <c r="FM21" s="60"/>
      <c r="FQ21" s="60"/>
      <c r="FU21" s="60"/>
      <c r="FY21" s="60"/>
      <c r="GC21" s="60"/>
      <c r="GG21" s="60"/>
      <c r="GK21" s="60"/>
      <c r="GO21" s="60"/>
      <c r="GS21" s="60"/>
      <c r="GW21" s="60"/>
      <c r="HA21" s="60"/>
      <c r="HE21" s="60"/>
      <c r="HI21" s="60"/>
      <c r="HM21" s="60"/>
      <c r="HQ21" s="60"/>
      <c r="HU21" s="60"/>
      <c r="HY21" s="60"/>
      <c r="IC21" s="60"/>
      <c r="IG21" s="60"/>
      <c r="IK21" s="60"/>
      <c r="IO21" s="60"/>
      <c r="IS21" s="60"/>
      <c r="IW21" s="60"/>
      <c r="JA21" s="60"/>
      <c r="JE21" s="60"/>
      <c r="JI21" s="60"/>
      <c r="JM21" s="60"/>
      <c r="JQ21" s="60"/>
      <c r="JU21" s="60"/>
      <c r="JY21" s="60"/>
      <c r="KC21" s="60"/>
      <c r="KG21" s="60"/>
      <c r="KK21" s="60"/>
      <c r="KO21" s="60"/>
      <c r="KS21" s="60"/>
      <c r="KW21" s="60"/>
      <c r="LA21" s="60"/>
      <c r="LE21" s="60"/>
      <c r="LI21" s="60"/>
      <c r="LM21" s="60"/>
      <c r="LQ21" s="60"/>
      <c r="LU21" s="60"/>
      <c r="LY21" s="60"/>
      <c r="MC21" s="60"/>
      <c r="MG21" s="60"/>
      <c r="MK21" s="60"/>
      <c r="MO21" s="60"/>
      <c r="MS21" s="60"/>
      <c r="MW21" s="60"/>
      <c r="NA21" s="60"/>
      <c r="NE21" s="60"/>
      <c r="NI21" s="60"/>
      <c r="NM21" s="60"/>
      <c r="NQ21" s="60"/>
      <c r="NU21" s="60"/>
      <c r="NY21" s="60"/>
      <c r="OC21" s="60"/>
      <c r="OG21" s="60"/>
      <c r="OK21" s="60"/>
      <c r="OO21" s="60"/>
      <c r="OS21" s="60"/>
      <c r="OW21" s="60"/>
      <c r="PA21" s="60"/>
      <c r="PE21" s="60"/>
      <c r="PI21" s="60"/>
      <c r="PM21" s="60"/>
      <c r="PQ21" s="60"/>
      <c r="PU21" s="60"/>
      <c r="PY21" s="60"/>
      <c r="QC21" s="60"/>
      <c r="QG21" s="60"/>
      <c r="QK21" s="60"/>
      <c r="QO21" s="60"/>
      <c r="QS21" s="60"/>
      <c r="QW21" s="60"/>
      <c r="RA21" s="60"/>
      <c r="RE21" s="60"/>
      <c r="RI21" s="60"/>
      <c r="RM21" s="60"/>
      <c r="RQ21" s="60"/>
      <c r="RU21" s="60"/>
      <c r="RY21" s="60"/>
      <c r="SC21" s="60"/>
      <c r="SG21" s="60"/>
      <c r="SK21" s="60"/>
      <c r="SO21" s="60"/>
      <c r="SS21" s="60"/>
      <c r="SW21" s="60"/>
      <c r="TA21" s="60"/>
      <c r="TE21" s="60"/>
      <c r="TI21" s="60"/>
      <c r="TM21" s="60"/>
      <c r="TQ21" s="60"/>
      <c r="TU21" s="60"/>
      <c r="TY21" s="60"/>
      <c r="UC21" s="60"/>
      <c r="UG21" s="60"/>
      <c r="UK21" s="60"/>
      <c r="UO21" s="60"/>
      <c r="US21" s="60"/>
      <c r="UW21" s="60"/>
      <c r="VA21" s="60"/>
      <c r="VE21" s="60"/>
      <c r="VI21" s="60"/>
      <c r="VM21" s="60"/>
      <c r="VQ21" s="60"/>
      <c r="VU21" s="60"/>
      <c r="VY21" s="60"/>
      <c r="WC21" s="60"/>
      <c r="WG21" s="60"/>
      <c r="WK21" s="60"/>
      <c r="WO21" s="60"/>
      <c r="WS21" s="60"/>
      <c r="WW21" s="60"/>
      <c r="XA21" s="60"/>
      <c r="XE21" s="60"/>
      <c r="XI21" s="60"/>
      <c r="XM21" s="60"/>
      <c r="XQ21" s="60"/>
      <c r="XU21" s="60"/>
      <c r="XY21" s="60"/>
      <c r="YC21" s="60"/>
      <c r="YG21" s="60"/>
      <c r="YK21" s="60"/>
      <c r="YO21" s="60"/>
      <c r="YS21" s="60"/>
      <c r="YW21" s="60"/>
      <c r="ZA21" s="60"/>
      <c r="ZE21" s="60"/>
      <c r="ZI21" s="60"/>
      <c r="ZM21" s="60"/>
      <c r="ZQ21" s="60"/>
      <c r="ZU21" s="60"/>
      <c r="ZY21" s="60"/>
      <c r="AAC21" s="60"/>
      <c r="AAG21" s="60"/>
      <c r="AAK21" s="60"/>
      <c r="AAO21" s="60"/>
      <c r="AAS21" s="60"/>
      <c r="AAW21" s="60"/>
      <c r="ABA21" s="60"/>
      <c r="ABE21" s="60"/>
      <c r="ABI21" s="60"/>
      <c r="ABM21" s="60"/>
      <c r="ABQ21" s="60"/>
      <c r="ABU21" s="60"/>
      <c r="ABY21" s="60"/>
      <c r="ACC21" s="60"/>
      <c r="ACG21" s="60"/>
      <c r="ACK21" s="60"/>
      <c r="ACO21" s="60"/>
      <c r="ACS21" s="60"/>
      <c r="ACW21" s="60"/>
      <c r="ADA21" s="60"/>
      <c r="ADE21" s="60"/>
      <c r="ADI21" s="60"/>
      <c r="ADM21" s="60"/>
      <c r="ADQ21" s="60"/>
      <c r="ADU21" s="60"/>
      <c r="ADY21" s="60"/>
      <c r="AEC21" s="60"/>
      <c r="AEG21" s="60"/>
      <c r="AEK21" s="60"/>
      <c r="AEO21" s="60"/>
      <c r="AES21" s="60"/>
      <c r="AEW21" s="60"/>
      <c r="AFA21" s="60"/>
      <c r="AFE21" s="60"/>
      <c r="AFI21" s="60"/>
      <c r="AFM21" s="60"/>
      <c r="AFQ21" s="60"/>
      <c r="AFU21" s="60"/>
      <c r="AFY21" s="60"/>
      <c r="AGC21" s="60"/>
      <c r="AGG21" s="60"/>
      <c r="AGK21" s="60"/>
      <c r="AGO21" s="60"/>
      <c r="AGS21" s="60"/>
      <c r="AGW21" s="60"/>
      <c r="AHA21" s="60"/>
      <c r="AHE21" s="60"/>
      <c r="AHI21" s="60"/>
      <c r="AHM21" s="60"/>
      <c r="AHQ21" s="60"/>
      <c r="AHU21" s="60"/>
      <c r="AHY21" s="60"/>
      <c r="AIC21" s="60"/>
      <c r="AIG21" s="60"/>
      <c r="AIK21" s="60"/>
      <c r="AIO21" s="60"/>
      <c r="AIS21" s="60"/>
      <c r="AIW21" s="60"/>
      <c r="AJA21" s="60"/>
      <c r="AJE21" s="60"/>
      <c r="AJI21" s="60"/>
      <c r="AJM21" s="60"/>
      <c r="AJQ21" s="60"/>
      <c r="AJU21" s="60"/>
      <c r="AJY21" s="60"/>
      <c r="AKC21" s="60"/>
      <c r="AKG21" s="60"/>
      <c r="AKK21" s="60"/>
      <c r="AKO21" s="60"/>
      <c r="AKS21" s="60"/>
      <c r="AKW21" s="60"/>
      <c r="ALA21" s="60"/>
      <c r="ALE21" s="60"/>
      <c r="ALI21" s="60"/>
      <c r="ALM21" s="60"/>
      <c r="ALQ21" s="60"/>
      <c r="ALU21" s="60"/>
      <c r="ALY21" s="60"/>
      <c r="AMC21" s="60"/>
      <c r="AMG21" s="60"/>
      <c r="AMK21" s="60"/>
      <c r="AMO21" s="60"/>
      <c r="AMS21" s="60"/>
      <c r="AMW21" s="60"/>
      <c r="ANA21" s="60"/>
      <c r="ANE21" s="60"/>
      <c r="ANI21" s="60"/>
      <c r="ANM21" s="60"/>
      <c r="ANQ21" s="60"/>
      <c r="ANU21" s="60"/>
      <c r="ANY21" s="60"/>
      <c r="AOC21" s="60"/>
      <c r="AOG21" s="60"/>
      <c r="AOK21" s="60"/>
      <c r="AOO21" s="60"/>
      <c r="AOS21" s="60"/>
      <c r="AOW21" s="60"/>
      <c r="APA21" s="60"/>
      <c r="APE21" s="60"/>
      <c r="API21" s="60"/>
      <c r="APM21" s="60"/>
      <c r="APQ21" s="60"/>
      <c r="APU21" s="60"/>
      <c r="APY21" s="60"/>
      <c r="AQC21" s="60"/>
      <c r="AQG21" s="60"/>
      <c r="AQK21" s="60"/>
      <c r="AQO21" s="60"/>
      <c r="AQS21" s="60"/>
      <c r="AQW21" s="60"/>
      <c r="ARA21" s="60"/>
      <c r="ARE21" s="60"/>
      <c r="ARI21" s="60"/>
      <c r="ARM21" s="60"/>
      <c r="ARQ21" s="60"/>
      <c r="ARU21" s="60"/>
      <c r="ARY21" s="60"/>
      <c r="ASC21" s="60"/>
      <c r="ASG21" s="60"/>
      <c r="ASK21" s="60"/>
      <c r="ASO21" s="60"/>
      <c r="ASS21" s="60"/>
      <c r="ASW21" s="60"/>
      <c r="ATA21" s="60"/>
      <c r="ATE21" s="60"/>
      <c r="ATI21" s="60"/>
      <c r="ATM21" s="60"/>
      <c r="ATQ21" s="60"/>
      <c r="ATU21" s="60"/>
      <c r="ATY21" s="60"/>
      <c r="AUC21" s="60"/>
      <c r="AUG21" s="60"/>
      <c r="AUK21" s="60"/>
      <c r="AUO21" s="60"/>
      <c r="AUS21" s="60"/>
      <c r="AUW21" s="60"/>
      <c r="AVA21" s="60"/>
      <c r="AVE21" s="60"/>
      <c r="AVI21" s="60"/>
      <c r="AVM21" s="60"/>
      <c r="AVQ21" s="60"/>
      <c r="AVU21" s="60"/>
      <c r="AVY21" s="60"/>
      <c r="AWC21" s="60"/>
      <c r="AWG21" s="60"/>
      <c r="AWK21" s="60"/>
      <c r="AWO21" s="60"/>
      <c r="AWS21" s="60"/>
      <c r="AWW21" s="60"/>
      <c r="AXA21" s="60"/>
      <c r="AXE21" s="60"/>
      <c r="AXI21" s="60"/>
      <c r="AXM21" s="60"/>
      <c r="AXQ21" s="60"/>
      <c r="AXU21" s="60"/>
      <c r="AXY21" s="60"/>
      <c r="AYC21" s="60"/>
      <c r="AYG21" s="60"/>
      <c r="AYK21" s="60"/>
      <c r="AYO21" s="60"/>
      <c r="AYS21" s="60"/>
      <c r="AYW21" s="60"/>
      <c r="AZA21" s="60"/>
      <c r="AZE21" s="60"/>
      <c r="AZI21" s="60"/>
      <c r="AZM21" s="60"/>
      <c r="AZQ21" s="60"/>
      <c r="AZU21" s="60"/>
      <c r="AZY21" s="60"/>
      <c r="BAC21" s="60"/>
      <c r="BAG21" s="60"/>
      <c r="BAK21" s="60"/>
      <c r="BAO21" s="60"/>
      <c r="BAS21" s="60"/>
      <c r="BAW21" s="60"/>
      <c r="BBA21" s="60"/>
      <c r="BBE21" s="60"/>
      <c r="BBI21" s="60"/>
      <c r="BBM21" s="60"/>
      <c r="BBQ21" s="60"/>
      <c r="BBU21" s="60"/>
      <c r="BBY21" s="60"/>
      <c r="BCC21" s="60"/>
      <c r="BCG21" s="60"/>
      <c r="BCK21" s="60"/>
      <c r="BCO21" s="60"/>
      <c r="BCS21" s="60"/>
      <c r="BCW21" s="60"/>
      <c r="BDA21" s="60"/>
      <c r="BDE21" s="60"/>
      <c r="BDI21" s="60"/>
      <c r="BDM21" s="60"/>
      <c r="BDQ21" s="60"/>
      <c r="BDU21" s="60"/>
      <c r="BDY21" s="60"/>
      <c r="BEC21" s="60"/>
      <c r="BEG21" s="60"/>
      <c r="BEK21" s="60"/>
      <c r="BEO21" s="60"/>
      <c r="BES21" s="60"/>
      <c r="BEW21" s="60"/>
      <c r="BFA21" s="60"/>
      <c r="BFE21" s="60"/>
      <c r="BFI21" s="60"/>
      <c r="BFM21" s="60"/>
      <c r="BFQ21" s="60"/>
      <c r="BFU21" s="60"/>
      <c r="BFY21" s="60"/>
      <c r="BGC21" s="60"/>
      <c r="BGG21" s="60"/>
      <c r="BGK21" s="60"/>
      <c r="BGO21" s="60"/>
      <c r="BGS21" s="60"/>
      <c r="BGW21" s="60"/>
      <c r="BHA21" s="60"/>
      <c r="BHE21" s="60"/>
      <c r="BHI21" s="60"/>
      <c r="BHM21" s="60"/>
      <c r="BHQ21" s="60"/>
      <c r="BHU21" s="60"/>
      <c r="BHY21" s="60"/>
      <c r="BIC21" s="60"/>
      <c r="BIG21" s="60"/>
      <c r="BIK21" s="60"/>
      <c r="BIO21" s="60"/>
      <c r="BIS21" s="60"/>
      <c r="BIW21" s="60"/>
      <c r="BJA21" s="60"/>
      <c r="BJE21" s="60"/>
      <c r="BJI21" s="60"/>
      <c r="BJM21" s="60"/>
      <c r="BJQ21" s="60"/>
      <c r="BJU21" s="60"/>
      <c r="BJY21" s="60"/>
      <c r="BKC21" s="60"/>
      <c r="BKG21" s="60"/>
      <c r="BKK21" s="60"/>
      <c r="BKO21" s="60"/>
      <c r="BKS21" s="60"/>
      <c r="BKW21" s="60"/>
      <c r="BLA21" s="60"/>
      <c r="BLE21" s="60"/>
      <c r="BLI21" s="60"/>
      <c r="BLM21" s="60"/>
      <c r="BLQ21" s="60"/>
      <c r="BLU21" s="60"/>
      <c r="BLY21" s="60"/>
      <c r="BMC21" s="60"/>
      <c r="BMG21" s="60"/>
      <c r="BMK21" s="60"/>
      <c r="BMO21" s="60"/>
      <c r="BMS21" s="60"/>
      <c r="BMW21" s="60"/>
      <c r="BNA21" s="60"/>
      <c r="BNE21" s="60"/>
      <c r="BNI21" s="60"/>
      <c r="BNM21" s="60"/>
      <c r="BNQ21" s="60"/>
      <c r="BNU21" s="60"/>
      <c r="BNY21" s="60"/>
      <c r="BOC21" s="60"/>
      <c r="BOG21" s="60"/>
      <c r="BOK21" s="60"/>
      <c r="BOO21" s="60"/>
      <c r="BOS21" s="60"/>
      <c r="BOW21" s="60"/>
      <c r="BPA21" s="60"/>
      <c r="BPE21" s="60"/>
      <c r="BPI21" s="60"/>
      <c r="BPM21" s="60"/>
      <c r="BPQ21" s="60"/>
      <c r="BPU21" s="60"/>
      <c r="BPY21" s="60"/>
      <c r="BQC21" s="60"/>
      <c r="BQG21" s="60"/>
      <c r="BQK21" s="60"/>
      <c r="BQO21" s="60"/>
      <c r="BQS21" s="60"/>
      <c r="BQW21" s="60"/>
      <c r="BRA21" s="60"/>
      <c r="BRE21" s="60"/>
      <c r="BRI21" s="60"/>
      <c r="BRM21" s="60"/>
      <c r="BRQ21" s="60"/>
      <c r="BRU21" s="60"/>
      <c r="BRY21" s="60"/>
      <c r="BSC21" s="60"/>
      <c r="BSG21" s="60"/>
      <c r="BSK21" s="60"/>
      <c r="BSO21" s="60"/>
      <c r="BSS21" s="60"/>
      <c r="BSW21" s="60"/>
      <c r="BTA21" s="60"/>
      <c r="BTE21" s="60"/>
      <c r="BTI21" s="60"/>
      <c r="BTM21" s="60"/>
      <c r="BTQ21" s="60"/>
      <c r="BTU21" s="60"/>
      <c r="BTY21" s="60"/>
      <c r="BUC21" s="60"/>
      <c r="BUG21" s="60"/>
      <c r="BUK21" s="60"/>
      <c r="BUO21" s="60"/>
      <c r="BUS21" s="60"/>
      <c r="BUW21" s="60"/>
      <c r="BVA21" s="60"/>
      <c r="BVE21" s="60"/>
      <c r="BVI21" s="60"/>
      <c r="BVM21" s="60"/>
      <c r="BVQ21" s="60"/>
      <c r="BVU21" s="60"/>
      <c r="BVY21" s="60"/>
      <c r="BWC21" s="60"/>
      <c r="BWG21" s="60"/>
      <c r="BWK21" s="60"/>
      <c r="BWO21" s="60"/>
      <c r="BWS21" s="60"/>
      <c r="BWW21" s="60"/>
      <c r="BXA21" s="60"/>
      <c r="BXE21" s="60"/>
      <c r="BXI21" s="60"/>
      <c r="BXM21" s="60"/>
      <c r="BXQ21" s="60"/>
      <c r="BXU21" s="60"/>
      <c r="BXY21" s="60"/>
      <c r="BYC21" s="60"/>
      <c r="BYG21" s="60"/>
      <c r="BYK21" s="60"/>
      <c r="BYO21" s="60"/>
      <c r="BYS21" s="60"/>
      <c r="BYW21" s="60"/>
      <c r="BZA21" s="60"/>
      <c r="BZE21" s="60"/>
      <c r="BZI21" s="60"/>
      <c r="BZM21" s="60"/>
      <c r="BZQ21" s="60"/>
      <c r="BZU21" s="60"/>
      <c r="BZY21" s="60"/>
      <c r="CAC21" s="60"/>
      <c r="CAG21" s="60"/>
      <c r="CAK21" s="60"/>
      <c r="CAO21" s="60"/>
      <c r="CAS21" s="60"/>
      <c r="CAW21" s="60"/>
      <c r="CBA21" s="60"/>
      <c r="CBE21" s="60"/>
      <c r="CBI21" s="60"/>
      <c r="CBM21" s="60"/>
      <c r="CBQ21" s="60"/>
      <c r="CBU21" s="60"/>
      <c r="CBY21" s="60"/>
      <c r="CCC21" s="60"/>
      <c r="CCG21" s="60"/>
      <c r="CCK21" s="60"/>
      <c r="CCO21" s="60"/>
      <c r="CCS21" s="60"/>
      <c r="CCW21" s="60"/>
      <c r="CDA21" s="60"/>
      <c r="CDE21" s="60"/>
      <c r="CDI21" s="60"/>
      <c r="CDM21" s="60"/>
      <c r="CDQ21" s="60"/>
      <c r="CDU21" s="60"/>
      <c r="CDY21" s="60"/>
      <c r="CEC21" s="60"/>
      <c r="CEG21" s="60"/>
      <c r="CEK21" s="60"/>
      <c r="CEO21" s="60"/>
      <c r="CES21" s="60"/>
      <c r="CEW21" s="60"/>
      <c r="CFA21" s="60"/>
      <c r="CFE21" s="60"/>
      <c r="CFI21" s="60"/>
      <c r="CFM21" s="60"/>
      <c r="CFQ21" s="60"/>
      <c r="CFU21" s="60"/>
      <c r="CFY21" s="60"/>
      <c r="CGC21" s="60"/>
      <c r="CGG21" s="60"/>
      <c r="CGK21" s="60"/>
      <c r="CGO21" s="60"/>
      <c r="CGS21" s="60"/>
      <c r="CGW21" s="60"/>
      <c r="CHA21" s="60"/>
      <c r="CHE21" s="60"/>
      <c r="CHI21" s="60"/>
      <c r="CHM21" s="60"/>
      <c r="CHQ21" s="60"/>
      <c r="CHU21" s="60"/>
      <c r="CHY21" s="60"/>
      <c r="CIC21" s="60"/>
      <c r="CIG21" s="60"/>
      <c r="CIK21" s="60"/>
      <c r="CIO21" s="60"/>
      <c r="CIS21" s="60"/>
      <c r="CIW21" s="60"/>
      <c r="CJA21" s="60"/>
      <c r="CJE21" s="60"/>
      <c r="CJI21" s="60"/>
      <c r="CJM21" s="60"/>
      <c r="CJQ21" s="60"/>
      <c r="CJU21" s="60"/>
      <c r="CJY21" s="60"/>
      <c r="CKC21" s="60"/>
      <c r="CKG21" s="60"/>
      <c r="CKK21" s="60"/>
      <c r="CKO21" s="60"/>
      <c r="CKS21" s="60"/>
      <c r="CKW21" s="60"/>
      <c r="CLA21" s="60"/>
      <c r="CLE21" s="60"/>
      <c r="CLI21" s="60"/>
      <c r="CLM21" s="60"/>
      <c r="CLQ21" s="60"/>
      <c r="CLU21" s="60"/>
      <c r="CLY21" s="60"/>
      <c r="CMC21" s="60"/>
      <c r="CMG21" s="60"/>
      <c r="CMK21" s="60"/>
      <c r="CMO21" s="60"/>
      <c r="CMS21" s="60"/>
      <c r="CMW21" s="60"/>
      <c r="CNA21" s="60"/>
      <c r="CNE21" s="60"/>
      <c r="CNI21" s="60"/>
      <c r="CNM21" s="60"/>
      <c r="CNQ21" s="60"/>
      <c r="CNU21" s="60"/>
      <c r="CNY21" s="60"/>
      <c r="COC21" s="60"/>
      <c r="COG21" s="60"/>
      <c r="COK21" s="60"/>
      <c r="COO21" s="60"/>
      <c r="COS21" s="60"/>
      <c r="COW21" s="60"/>
      <c r="CPA21" s="60"/>
      <c r="CPE21" s="60"/>
      <c r="CPI21" s="60"/>
      <c r="CPM21" s="60"/>
      <c r="CPQ21" s="60"/>
      <c r="CPU21" s="60"/>
      <c r="CPY21" s="60"/>
      <c r="CQC21" s="60"/>
      <c r="CQG21" s="60"/>
      <c r="CQK21" s="60"/>
      <c r="CQO21" s="60"/>
      <c r="CQS21" s="60"/>
      <c r="CQW21" s="60"/>
      <c r="CRA21" s="60"/>
      <c r="CRE21" s="60"/>
      <c r="CRI21" s="60"/>
      <c r="CRM21" s="60"/>
      <c r="CRQ21" s="60"/>
      <c r="CRU21" s="60"/>
      <c r="CRY21" s="60"/>
      <c r="CSC21" s="60"/>
      <c r="CSG21" s="60"/>
      <c r="CSK21" s="60"/>
      <c r="CSO21" s="60"/>
      <c r="CSS21" s="60"/>
      <c r="CSW21" s="60"/>
      <c r="CTA21" s="60"/>
      <c r="CTE21" s="60"/>
      <c r="CTI21" s="60"/>
      <c r="CTM21" s="60"/>
      <c r="CTQ21" s="60"/>
      <c r="CTU21" s="60"/>
      <c r="CTY21" s="60"/>
      <c r="CUC21" s="60"/>
      <c r="CUG21" s="60"/>
      <c r="CUK21" s="60"/>
      <c r="CUO21" s="60"/>
      <c r="CUS21" s="60"/>
      <c r="CUW21" s="60"/>
      <c r="CVA21" s="60"/>
      <c r="CVE21" s="60"/>
      <c r="CVI21" s="60"/>
      <c r="CVM21" s="60"/>
      <c r="CVQ21" s="60"/>
      <c r="CVU21" s="60"/>
      <c r="CVY21" s="60"/>
      <c r="CWC21" s="60"/>
      <c r="CWG21" s="60"/>
      <c r="CWK21" s="60"/>
      <c r="CWO21" s="60"/>
      <c r="CWS21" s="60"/>
      <c r="CWW21" s="60"/>
      <c r="CXA21" s="60"/>
      <c r="CXE21" s="60"/>
      <c r="CXI21" s="60"/>
      <c r="CXM21" s="60"/>
      <c r="CXQ21" s="60"/>
      <c r="CXU21" s="60"/>
      <c r="CXY21" s="60"/>
      <c r="CYC21" s="60"/>
      <c r="CYG21" s="60"/>
      <c r="CYK21" s="60"/>
      <c r="CYO21" s="60"/>
      <c r="CYS21" s="60"/>
      <c r="CYW21" s="60"/>
      <c r="CZA21" s="60"/>
      <c r="CZE21" s="60"/>
      <c r="CZI21" s="60"/>
      <c r="CZM21" s="60"/>
      <c r="CZQ21" s="60"/>
      <c r="CZU21" s="60"/>
      <c r="CZY21" s="60"/>
      <c r="DAC21" s="60"/>
      <c r="DAG21" s="60"/>
      <c r="DAK21" s="60"/>
      <c r="DAO21" s="60"/>
      <c r="DAS21" s="60"/>
      <c r="DAW21" s="60"/>
      <c r="DBA21" s="60"/>
      <c r="DBE21" s="60"/>
      <c r="DBI21" s="60"/>
      <c r="DBM21" s="60"/>
      <c r="DBQ21" s="60"/>
      <c r="DBU21" s="60"/>
      <c r="DBY21" s="60"/>
      <c r="DCC21" s="60"/>
      <c r="DCG21" s="60"/>
      <c r="DCK21" s="60"/>
      <c r="DCO21" s="60"/>
      <c r="DCS21" s="60"/>
      <c r="DCW21" s="60"/>
      <c r="DDA21" s="60"/>
      <c r="DDE21" s="60"/>
      <c r="DDI21" s="60"/>
      <c r="DDM21" s="60"/>
      <c r="DDQ21" s="60"/>
      <c r="DDU21" s="60"/>
      <c r="DDY21" s="60"/>
      <c r="DEC21" s="60"/>
      <c r="DEG21" s="60"/>
      <c r="DEK21" s="60"/>
      <c r="DEO21" s="60"/>
      <c r="DES21" s="60"/>
      <c r="DEW21" s="60"/>
      <c r="DFA21" s="60"/>
      <c r="DFE21" s="60"/>
      <c r="DFI21" s="60"/>
      <c r="DFM21" s="60"/>
      <c r="DFQ21" s="60"/>
      <c r="DFU21" s="60"/>
      <c r="DFY21" s="60"/>
      <c r="DGC21" s="60"/>
      <c r="DGG21" s="60"/>
      <c r="DGK21" s="60"/>
      <c r="DGO21" s="60"/>
      <c r="DGS21" s="60"/>
      <c r="DGW21" s="60"/>
      <c r="DHA21" s="60"/>
      <c r="DHE21" s="60"/>
      <c r="DHI21" s="60"/>
      <c r="DHM21" s="60"/>
      <c r="DHQ21" s="60"/>
      <c r="DHU21" s="60"/>
      <c r="DHY21" s="60"/>
      <c r="DIC21" s="60"/>
      <c r="DIG21" s="60"/>
      <c r="DIK21" s="60"/>
      <c r="DIO21" s="60"/>
      <c r="DIS21" s="60"/>
      <c r="DIW21" s="60"/>
      <c r="DJA21" s="60"/>
      <c r="DJE21" s="60"/>
      <c r="DJI21" s="60"/>
      <c r="DJM21" s="60"/>
      <c r="DJQ21" s="60"/>
      <c r="DJU21" s="60"/>
      <c r="DJY21" s="60"/>
      <c r="DKC21" s="60"/>
      <c r="DKG21" s="60"/>
      <c r="DKK21" s="60"/>
      <c r="DKO21" s="60"/>
      <c r="DKS21" s="60"/>
      <c r="DKW21" s="60"/>
      <c r="DLA21" s="60"/>
      <c r="DLE21" s="60"/>
      <c r="DLI21" s="60"/>
      <c r="DLM21" s="60"/>
      <c r="DLQ21" s="60"/>
      <c r="DLU21" s="60"/>
      <c r="DLY21" s="60"/>
      <c r="DMC21" s="60"/>
      <c r="DMG21" s="60"/>
      <c r="DMK21" s="60"/>
      <c r="DMO21" s="60"/>
      <c r="DMS21" s="60"/>
      <c r="DMW21" s="60"/>
      <c r="DNA21" s="60"/>
      <c r="DNE21" s="60"/>
      <c r="DNI21" s="60"/>
      <c r="DNM21" s="60"/>
      <c r="DNQ21" s="60"/>
      <c r="DNU21" s="60"/>
      <c r="DNY21" s="60"/>
      <c r="DOC21" s="60"/>
      <c r="DOG21" s="60"/>
      <c r="DOK21" s="60"/>
      <c r="DOO21" s="60"/>
      <c r="DOS21" s="60"/>
      <c r="DOW21" s="60"/>
      <c r="DPA21" s="60"/>
      <c r="DPE21" s="60"/>
      <c r="DPI21" s="60"/>
      <c r="DPM21" s="60"/>
      <c r="DPQ21" s="60"/>
      <c r="DPU21" s="60"/>
      <c r="DPY21" s="60"/>
      <c r="DQC21" s="60"/>
      <c r="DQG21" s="60"/>
      <c r="DQK21" s="60"/>
      <c r="DQO21" s="60"/>
      <c r="DQS21" s="60"/>
      <c r="DQW21" s="60"/>
      <c r="DRA21" s="60"/>
      <c r="DRE21" s="60"/>
      <c r="DRI21" s="60"/>
      <c r="DRM21" s="60"/>
      <c r="DRQ21" s="60"/>
      <c r="DRU21" s="60"/>
      <c r="DRY21" s="60"/>
      <c r="DSC21" s="60"/>
      <c r="DSG21" s="60"/>
      <c r="DSK21" s="60"/>
      <c r="DSO21" s="60"/>
      <c r="DSS21" s="60"/>
      <c r="DSW21" s="60"/>
      <c r="DTA21" s="60"/>
      <c r="DTE21" s="60"/>
      <c r="DTI21" s="60"/>
      <c r="DTM21" s="60"/>
      <c r="DTQ21" s="60"/>
      <c r="DTU21" s="60"/>
      <c r="DTY21" s="60"/>
      <c r="DUC21" s="60"/>
      <c r="DUG21" s="60"/>
      <c r="DUK21" s="60"/>
      <c r="DUO21" s="60"/>
      <c r="DUS21" s="60"/>
      <c r="DUW21" s="60"/>
      <c r="DVA21" s="60"/>
      <c r="DVE21" s="60"/>
      <c r="DVI21" s="60"/>
      <c r="DVM21" s="60"/>
      <c r="DVQ21" s="60"/>
      <c r="DVU21" s="60"/>
      <c r="DVY21" s="60"/>
      <c r="DWC21" s="60"/>
      <c r="DWG21" s="60"/>
      <c r="DWK21" s="60"/>
      <c r="DWO21" s="60"/>
      <c r="DWS21" s="60"/>
      <c r="DWW21" s="60"/>
      <c r="DXA21" s="60"/>
      <c r="DXE21" s="60"/>
      <c r="DXI21" s="60"/>
      <c r="DXM21" s="60"/>
      <c r="DXQ21" s="60"/>
      <c r="DXU21" s="60"/>
      <c r="DXY21" s="60"/>
      <c r="DYC21" s="60"/>
      <c r="DYG21" s="60"/>
      <c r="DYK21" s="60"/>
      <c r="DYO21" s="60"/>
      <c r="DYS21" s="60"/>
      <c r="DYW21" s="60"/>
      <c r="DZA21" s="60"/>
      <c r="DZE21" s="60"/>
      <c r="DZI21" s="60"/>
      <c r="DZM21" s="60"/>
      <c r="DZQ21" s="60"/>
      <c r="DZU21" s="60"/>
      <c r="DZY21" s="60"/>
      <c r="EAC21" s="60"/>
      <c r="EAG21" s="60"/>
      <c r="EAK21" s="60"/>
      <c r="EAO21" s="60"/>
      <c r="EAS21" s="60"/>
      <c r="EAW21" s="60"/>
      <c r="EBA21" s="60"/>
      <c r="EBE21" s="60"/>
      <c r="EBI21" s="60"/>
      <c r="EBM21" s="60"/>
      <c r="EBQ21" s="60"/>
      <c r="EBU21" s="60"/>
      <c r="EBY21" s="60"/>
      <c r="ECC21" s="60"/>
      <c r="ECG21" s="60"/>
      <c r="ECK21" s="60"/>
      <c r="ECO21" s="60"/>
      <c r="ECS21" s="60"/>
      <c r="ECW21" s="60"/>
      <c r="EDA21" s="60"/>
      <c r="EDE21" s="60"/>
      <c r="EDI21" s="60"/>
      <c r="EDM21" s="60"/>
      <c r="EDQ21" s="60"/>
      <c r="EDU21" s="60"/>
      <c r="EDY21" s="60"/>
      <c r="EEC21" s="60"/>
      <c r="EEG21" s="60"/>
      <c r="EEK21" s="60"/>
      <c r="EEO21" s="60"/>
      <c r="EES21" s="60"/>
      <c r="EEW21" s="60"/>
      <c r="EFA21" s="60"/>
      <c r="EFE21" s="60"/>
      <c r="EFI21" s="60"/>
      <c r="EFM21" s="60"/>
      <c r="EFQ21" s="60"/>
      <c r="EFU21" s="60"/>
      <c r="EFY21" s="60"/>
      <c r="EGC21" s="60"/>
      <c r="EGG21" s="60"/>
      <c r="EGK21" s="60"/>
      <c r="EGO21" s="60"/>
      <c r="EGS21" s="60"/>
      <c r="EGW21" s="60"/>
      <c r="EHA21" s="60"/>
      <c r="EHE21" s="60"/>
      <c r="EHI21" s="60"/>
      <c r="EHM21" s="60"/>
      <c r="EHQ21" s="60"/>
      <c r="EHU21" s="60"/>
      <c r="EHY21" s="60"/>
      <c r="EIC21" s="60"/>
      <c r="EIG21" s="60"/>
      <c r="EIK21" s="60"/>
      <c r="EIO21" s="60"/>
      <c r="EIS21" s="60"/>
      <c r="EIW21" s="60"/>
      <c r="EJA21" s="60"/>
      <c r="EJE21" s="60"/>
      <c r="EJI21" s="60"/>
      <c r="EJM21" s="60"/>
      <c r="EJQ21" s="60"/>
      <c r="EJU21" s="60"/>
      <c r="EJY21" s="60"/>
      <c r="EKC21" s="60"/>
      <c r="EKG21" s="60"/>
      <c r="EKK21" s="60"/>
      <c r="EKO21" s="60"/>
      <c r="EKS21" s="60"/>
      <c r="EKW21" s="60"/>
      <c r="ELA21" s="60"/>
      <c r="ELE21" s="60"/>
      <c r="ELI21" s="60"/>
      <c r="ELM21" s="60"/>
      <c r="ELQ21" s="60"/>
      <c r="ELU21" s="60"/>
      <c r="ELY21" s="60"/>
      <c r="EMC21" s="60"/>
      <c r="EMG21" s="60"/>
      <c r="EMK21" s="60"/>
      <c r="EMO21" s="60"/>
      <c r="EMS21" s="60"/>
      <c r="EMW21" s="60"/>
      <c r="ENA21" s="60"/>
      <c r="ENE21" s="60"/>
      <c r="ENI21" s="60"/>
      <c r="ENM21" s="60"/>
      <c r="ENQ21" s="60"/>
      <c r="ENU21" s="60"/>
      <c r="ENY21" s="60"/>
      <c r="EOC21" s="60"/>
      <c r="EOG21" s="60"/>
      <c r="EOK21" s="60"/>
      <c r="EOO21" s="60"/>
      <c r="EOS21" s="60"/>
      <c r="EOW21" s="60"/>
      <c r="EPA21" s="60"/>
      <c r="EPE21" s="60"/>
      <c r="EPI21" s="60"/>
      <c r="EPM21" s="60"/>
      <c r="EPQ21" s="60"/>
      <c r="EPU21" s="60"/>
      <c r="EPY21" s="60"/>
      <c r="EQC21" s="60"/>
      <c r="EQG21" s="60"/>
      <c r="EQK21" s="60"/>
      <c r="EQO21" s="60"/>
      <c r="EQS21" s="60"/>
      <c r="EQW21" s="60"/>
      <c r="ERA21" s="60"/>
      <c r="ERE21" s="60"/>
      <c r="ERI21" s="60"/>
      <c r="ERM21" s="60"/>
      <c r="ERQ21" s="60"/>
      <c r="ERU21" s="60"/>
      <c r="ERY21" s="60"/>
      <c r="ESC21" s="60"/>
      <c r="ESG21" s="60"/>
      <c r="ESK21" s="60"/>
      <c r="ESO21" s="60"/>
      <c r="ESS21" s="60"/>
      <c r="ESW21" s="60"/>
      <c r="ETA21" s="60"/>
      <c r="ETE21" s="60"/>
      <c r="ETI21" s="60"/>
      <c r="ETM21" s="60"/>
      <c r="ETQ21" s="60"/>
      <c r="ETU21" s="60"/>
      <c r="ETY21" s="60"/>
      <c r="EUC21" s="60"/>
      <c r="EUG21" s="60"/>
      <c r="EUK21" s="60"/>
      <c r="EUO21" s="60"/>
      <c r="EUS21" s="60"/>
      <c r="EUW21" s="60"/>
      <c r="EVA21" s="60"/>
      <c r="EVE21" s="60"/>
      <c r="EVI21" s="60"/>
      <c r="EVM21" s="60"/>
      <c r="EVQ21" s="60"/>
      <c r="EVU21" s="60"/>
      <c r="EVY21" s="60"/>
      <c r="EWC21" s="60"/>
      <c r="EWG21" s="60"/>
      <c r="EWK21" s="60"/>
      <c r="EWO21" s="60"/>
      <c r="EWS21" s="60"/>
      <c r="EWW21" s="60"/>
      <c r="EXA21" s="60"/>
      <c r="EXE21" s="60"/>
      <c r="EXI21" s="60"/>
      <c r="EXM21" s="60"/>
      <c r="EXQ21" s="60"/>
      <c r="EXU21" s="60"/>
      <c r="EXY21" s="60"/>
      <c r="EYC21" s="60"/>
      <c r="EYG21" s="60"/>
      <c r="EYK21" s="60"/>
      <c r="EYO21" s="60"/>
      <c r="EYS21" s="60"/>
      <c r="EYW21" s="60"/>
      <c r="EZA21" s="60"/>
      <c r="EZE21" s="60"/>
      <c r="EZI21" s="60"/>
      <c r="EZM21" s="60"/>
      <c r="EZQ21" s="60"/>
      <c r="EZU21" s="60"/>
      <c r="EZY21" s="60"/>
      <c r="FAC21" s="60"/>
      <c r="FAG21" s="60"/>
      <c r="FAK21" s="60"/>
      <c r="FAO21" s="60"/>
      <c r="FAS21" s="60"/>
      <c r="FAW21" s="60"/>
      <c r="FBA21" s="60"/>
      <c r="FBE21" s="60"/>
      <c r="FBI21" s="60"/>
      <c r="FBM21" s="60"/>
      <c r="FBQ21" s="60"/>
      <c r="FBU21" s="60"/>
      <c r="FBY21" s="60"/>
      <c r="FCC21" s="60"/>
      <c r="FCG21" s="60"/>
      <c r="FCK21" s="60"/>
      <c r="FCO21" s="60"/>
      <c r="FCS21" s="60"/>
      <c r="FCW21" s="60"/>
      <c r="FDA21" s="60"/>
      <c r="FDE21" s="60"/>
      <c r="FDI21" s="60"/>
      <c r="FDM21" s="60"/>
      <c r="FDQ21" s="60"/>
      <c r="FDU21" s="60"/>
      <c r="FDY21" s="60"/>
      <c r="FEC21" s="60"/>
      <c r="FEG21" s="60"/>
      <c r="FEK21" s="60"/>
      <c r="FEO21" s="60"/>
      <c r="FES21" s="60"/>
      <c r="FEW21" s="60"/>
      <c r="FFA21" s="60"/>
      <c r="FFE21" s="60"/>
      <c r="FFI21" s="60"/>
      <c r="FFM21" s="60"/>
      <c r="FFQ21" s="60"/>
      <c r="FFU21" s="60"/>
      <c r="FFY21" s="60"/>
      <c r="FGC21" s="60"/>
      <c r="FGG21" s="60"/>
      <c r="FGK21" s="60"/>
      <c r="FGO21" s="60"/>
      <c r="FGS21" s="60"/>
      <c r="FGW21" s="60"/>
      <c r="FHA21" s="60"/>
      <c r="FHE21" s="60"/>
      <c r="FHI21" s="60"/>
      <c r="FHM21" s="60"/>
      <c r="FHQ21" s="60"/>
      <c r="FHU21" s="60"/>
      <c r="FHY21" s="60"/>
      <c r="FIC21" s="60"/>
      <c r="FIG21" s="60"/>
      <c r="FIK21" s="60"/>
      <c r="FIO21" s="60"/>
      <c r="FIS21" s="60"/>
      <c r="FIW21" s="60"/>
      <c r="FJA21" s="60"/>
      <c r="FJE21" s="60"/>
      <c r="FJI21" s="60"/>
      <c r="FJM21" s="60"/>
      <c r="FJQ21" s="60"/>
      <c r="FJU21" s="60"/>
      <c r="FJY21" s="60"/>
      <c r="FKC21" s="60"/>
      <c r="FKG21" s="60"/>
      <c r="FKK21" s="60"/>
      <c r="FKO21" s="60"/>
      <c r="FKS21" s="60"/>
      <c r="FKW21" s="60"/>
      <c r="FLA21" s="60"/>
      <c r="FLE21" s="60"/>
      <c r="FLI21" s="60"/>
      <c r="FLM21" s="60"/>
      <c r="FLQ21" s="60"/>
      <c r="FLU21" s="60"/>
      <c r="FLY21" s="60"/>
      <c r="FMC21" s="60"/>
      <c r="FMG21" s="60"/>
      <c r="FMK21" s="60"/>
      <c r="FMO21" s="60"/>
      <c r="FMS21" s="60"/>
      <c r="FMW21" s="60"/>
      <c r="FNA21" s="60"/>
      <c r="FNE21" s="60"/>
      <c r="FNI21" s="60"/>
      <c r="FNM21" s="60"/>
      <c r="FNQ21" s="60"/>
      <c r="FNU21" s="60"/>
      <c r="FNY21" s="60"/>
      <c r="FOC21" s="60"/>
      <c r="FOG21" s="60"/>
      <c r="FOK21" s="60"/>
      <c r="FOO21" s="60"/>
      <c r="FOS21" s="60"/>
      <c r="FOW21" s="60"/>
      <c r="FPA21" s="60"/>
      <c r="FPE21" s="60"/>
      <c r="FPI21" s="60"/>
      <c r="FPM21" s="60"/>
      <c r="FPQ21" s="60"/>
      <c r="FPU21" s="60"/>
      <c r="FPY21" s="60"/>
      <c r="FQC21" s="60"/>
      <c r="FQG21" s="60"/>
      <c r="FQK21" s="60"/>
      <c r="FQO21" s="60"/>
      <c r="FQS21" s="60"/>
      <c r="FQW21" s="60"/>
      <c r="FRA21" s="60"/>
      <c r="FRE21" s="60"/>
      <c r="FRI21" s="60"/>
      <c r="FRM21" s="60"/>
      <c r="FRQ21" s="60"/>
      <c r="FRU21" s="60"/>
      <c r="FRY21" s="60"/>
      <c r="FSC21" s="60"/>
      <c r="FSG21" s="60"/>
      <c r="FSK21" s="60"/>
      <c r="FSO21" s="60"/>
      <c r="FSS21" s="60"/>
      <c r="FSW21" s="60"/>
      <c r="FTA21" s="60"/>
      <c r="FTE21" s="60"/>
      <c r="FTI21" s="60"/>
      <c r="FTM21" s="60"/>
      <c r="FTQ21" s="60"/>
      <c r="FTU21" s="60"/>
      <c r="FTY21" s="60"/>
      <c r="FUC21" s="60"/>
      <c r="FUG21" s="60"/>
      <c r="FUK21" s="60"/>
      <c r="FUO21" s="60"/>
      <c r="FUS21" s="60"/>
      <c r="FUW21" s="60"/>
      <c r="FVA21" s="60"/>
      <c r="FVE21" s="60"/>
      <c r="FVI21" s="60"/>
      <c r="FVM21" s="60"/>
      <c r="FVQ21" s="60"/>
      <c r="FVU21" s="60"/>
      <c r="FVY21" s="60"/>
      <c r="FWC21" s="60"/>
      <c r="FWG21" s="60"/>
      <c r="FWK21" s="60"/>
      <c r="FWO21" s="60"/>
      <c r="FWS21" s="60"/>
      <c r="FWW21" s="60"/>
      <c r="FXA21" s="60"/>
      <c r="FXE21" s="60"/>
      <c r="FXI21" s="60"/>
      <c r="FXM21" s="60"/>
      <c r="FXQ21" s="60"/>
      <c r="FXU21" s="60"/>
      <c r="FXY21" s="60"/>
      <c r="FYC21" s="60"/>
      <c r="FYG21" s="60"/>
      <c r="FYK21" s="60"/>
      <c r="FYO21" s="60"/>
      <c r="FYS21" s="60"/>
      <c r="FYW21" s="60"/>
      <c r="FZA21" s="60"/>
      <c r="FZE21" s="60"/>
      <c r="FZI21" s="60"/>
      <c r="FZM21" s="60"/>
      <c r="FZQ21" s="60"/>
      <c r="FZU21" s="60"/>
      <c r="FZY21" s="60"/>
      <c r="GAC21" s="60"/>
      <c r="GAG21" s="60"/>
      <c r="GAK21" s="60"/>
      <c r="GAO21" s="60"/>
      <c r="GAS21" s="60"/>
      <c r="GAW21" s="60"/>
      <c r="GBA21" s="60"/>
      <c r="GBE21" s="60"/>
      <c r="GBI21" s="60"/>
      <c r="GBM21" s="60"/>
      <c r="GBQ21" s="60"/>
      <c r="GBU21" s="60"/>
      <c r="GBY21" s="60"/>
      <c r="GCC21" s="60"/>
      <c r="GCG21" s="60"/>
      <c r="GCK21" s="60"/>
      <c r="GCO21" s="60"/>
      <c r="GCS21" s="60"/>
      <c r="GCW21" s="60"/>
      <c r="GDA21" s="60"/>
      <c r="GDE21" s="60"/>
      <c r="GDI21" s="60"/>
      <c r="GDM21" s="60"/>
      <c r="GDQ21" s="60"/>
      <c r="GDU21" s="60"/>
      <c r="GDY21" s="60"/>
      <c r="GEC21" s="60"/>
      <c r="GEG21" s="60"/>
      <c r="GEK21" s="60"/>
      <c r="GEO21" s="60"/>
      <c r="GES21" s="60"/>
      <c r="GEW21" s="60"/>
      <c r="GFA21" s="60"/>
      <c r="GFE21" s="60"/>
      <c r="GFI21" s="60"/>
      <c r="GFM21" s="60"/>
      <c r="GFQ21" s="60"/>
      <c r="GFU21" s="60"/>
      <c r="GFY21" s="60"/>
      <c r="GGC21" s="60"/>
      <c r="GGG21" s="60"/>
      <c r="GGK21" s="60"/>
      <c r="GGO21" s="60"/>
      <c r="GGS21" s="60"/>
      <c r="GGW21" s="60"/>
      <c r="GHA21" s="60"/>
      <c r="GHE21" s="60"/>
      <c r="GHI21" s="60"/>
      <c r="GHM21" s="60"/>
      <c r="GHQ21" s="60"/>
      <c r="GHU21" s="60"/>
      <c r="GHY21" s="60"/>
      <c r="GIC21" s="60"/>
      <c r="GIG21" s="60"/>
      <c r="GIK21" s="60"/>
      <c r="GIO21" s="60"/>
      <c r="GIS21" s="60"/>
      <c r="GIW21" s="60"/>
      <c r="GJA21" s="60"/>
      <c r="GJE21" s="60"/>
      <c r="GJI21" s="60"/>
      <c r="GJM21" s="60"/>
      <c r="GJQ21" s="60"/>
      <c r="GJU21" s="60"/>
      <c r="GJY21" s="60"/>
      <c r="GKC21" s="60"/>
      <c r="GKG21" s="60"/>
      <c r="GKK21" s="60"/>
      <c r="GKO21" s="60"/>
      <c r="GKS21" s="60"/>
      <c r="GKW21" s="60"/>
      <c r="GLA21" s="60"/>
      <c r="GLE21" s="60"/>
      <c r="GLI21" s="60"/>
      <c r="GLM21" s="60"/>
      <c r="GLQ21" s="60"/>
      <c r="GLU21" s="60"/>
      <c r="GLY21" s="60"/>
      <c r="GMC21" s="60"/>
      <c r="GMG21" s="60"/>
      <c r="GMK21" s="60"/>
      <c r="GMO21" s="60"/>
      <c r="GMS21" s="60"/>
      <c r="GMW21" s="60"/>
      <c r="GNA21" s="60"/>
      <c r="GNE21" s="60"/>
      <c r="GNI21" s="60"/>
      <c r="GNM21" s="60"/>
      <c r="GNQ21" s="60"/>
      <c r="GNU21" s="60"/>
      <c r="GNY21" s="60"/>
      <c r="GOC21" s="60"/>
      <c r="GOG21" s="60"/>
      <c r="GOK21" s="60"/>
      <c r="GOO21" s="60"/>
      <c r="GOS21" s="60"/>
      <c r="GOW21" s="60"/>
      <c r="GPA21" s="60"/>
      <c r="GPE21" s="60"/>
      <c r="GPI21" s="60"/>
      <c r="GPM21" s="60"/>
      <c r="GPQ21" s="60"/>
      <c r="GPU21" s="60"/>
      <c r="GPY21" s="60"/>
      <c r="GQC21" s="60"/>
      <c r="GQG21" s="60"/>
      <c r="GQK21" s="60"/>
      <c r="GQO21" s="60"/>
      <c r="GQS21" s="60"/>
      <c r="GQW21" s="60"/>
      <c r="GRA21" s="60"/>
      <c r="GRE21" s="60"/>
      <c r="GRI21" s="60"/>
      <c r="GRM21" s="60"/>
      <c r="GRQ21" s="60"/>
      <c r="GRU21" s="60"/>
      <c r="GRY21" s="60"/>
      <c r="GSC21" s="60"/>
      <c r="GSG21" s="60"/>
      <c r="GSK21" s="60"/>
      <c r="GSO21" s="60"/>
      <c r="GSS21" s="60"/>
      <c r="GSW21" s="60"/>
      <c r="GTA21" s="60"/>
      <c r="GTE21" s="60"/>
      <c r="GTI21" s="60"/>
      <c r="GTM21" s="60"/>
      <c r="GTQ21" s="60"/>
      <c r="GTU21" s="60"/>
      <c r="GTY21" s="60"/>
      <c r="GUC21" s="60"/>
      <c r="GUG21" s="60"/>
      <c r="GUK21" s="60"/>
      <c r="GUO21" s="60"/>
      <c r="GUS21" s="60"/>
      <c r="GUW21" s="60"/>
      <c r="GVA21" s="60"/>
      <c r="GVE21" s="60"/>
      <c r="GVI21" s="60"/>
      <c r="GVM21" s="60"/>
      <c r="GVQ21" s="60"/>
      <c r="GVU21" s="60"/>
      <c r="GVY21" s="60"/>
      <c r="GWC21" s="60"/>
      <c r="GWG21" s="60"/>
      <c r="GWK21" s="60"/>
      <c r="GWO21" s="60"/>
      <c r="GWS21" s="60"/>
      <c r="GWW21" s="60"/>
      <c r="GXA21" s="60"/>
      <c r="GXE21" s="60"/>
      <c r="GXI21" s="60"/>
      <c r="GXM21" s="60"/>
      <c r="GXQ21" s="60"/>
      <c r="GXU21" s="60"/>
      <c r="GXY21" s="60"/>
      <c r="GYC21" s="60"/>
      <c r="GYG21" s="60"/>
      <c r="GYK21" s="60"/>
      <c r="GYO21" s="60"/>
      <c r="GYS21" s="60"/>
      <c r="GYW21" s="60"/>
      <c r="GZA21" s="60"/>
      <c r="GZE21" s="60"/>
      <c r="GZI21" s="60"/>
      <c r="GZM21" s="60"/>
      <c r="GZQ21" s="60"/>
      <c r="GZU21" s="60"/>
      <c r="GZY21" s="60"/>
      <c r="HAC21" s="60"/>
      <c r="HAG21" s="60"/>
      <c r="HAK21" s="60"/>
      <c r="HAO21" s="60"/>
      <c r="HAS21" s="60"/>
      <c r="HAW21" s="60"/>
      <c r="HBA21" s="60"/>
      <c r="HBE21" s="60"/>
      <c r="HBI21" s="60"/>
      <c r="HBM21" s="60"/>
      <c r="HBQ21" s="60"/>
      <c r="HBU21" s="60"/>
      <c r="HBY21" s="60"/>
      <c r="HCC21" s="60"/>
      <c r="HCG21" s="60"/>
      <c r="HCK21" s="60"/>
      <c r="HCO21" s="60"/>
      <c r="HCS21" s="60"/>
      <c r="HCW21" s="60"/>
      <c r="HDA21" s="60"/>
      <c r="HDE21" s="60"/>
      <c r="HDI21" s="60"/>
      <c r="HDM21" s="60"/>
      <c r="HDQ21" s="60"/>
      <c r="HDU21" s="60"/>
      <c r="HDY21" s="60"/>
      <c r="HEC21" s="60"/>
      <c r="HEG21" s="60"/>
      <c r="HEK21" s="60"/>
      <c r="HEO21" s="60"/>
      <c r="HES21" s="60"/>
      <c r="HEW21" s="60"/>
      <c r="HFA21" s="60"/>
      <c r="HFE21" s="60"/>
      <c r="HFI21" s="60"/>
      <c r="HFM21" s="60"/>
      <c r="HFQ21" s="60"/>
      <c r="HFU21" s="60"/>
      <c r="HFY21" s="60"/>
      <c r="HGC21" s="60"/>
      <c r="HGG21" s="60"/>
      <c r="HGK21" s="60"/>
      <c r="HGO21" s="60"/>
      <c r="HGS21" s="60"/>
      <c r="HGW21" s="60"/>
      <c r="HHA21" s="60"/>
      <c r="HHE21" s="60"/>
      <c r="HHI21" s="60"/>
      <c r="HHM21" s="60"/>
      <c r="HHQ21" s="60"/>
      <c r="HHU21" s="60"/>
      <c r="HHY21" s="60"/>
      <c r="HIC21" s="60"/>
      <c r="HIG21" s="60"/>
      <c r="HIK21" s="60"/>
      <c r="HIO21" s="60"/>
      <c r="HIS21" s="60"/>
      <c r="HIW21" s="60"/>
      <c r="HJA21" s="60"/>
      <c r="HJE21" s="60"/>
      <c r="HJI21" s="60"/>
      <c r="HJM21" s="60"/>
      <c r="HJQ21" s="60"/>
      <c r="HJU21" s="60"/>
      <c r="HJY21" s="60"/>
      <c r="HKC21" s="60"/>
      <c r="HKG21" s="60"/>
      <c r="HKK21" s="60"/>
      <c r="HKO21" s="60"/>
      <c r="HKS21" s="60"/>
      <c r="HKW21" s="60"/>
      <c r="HLA21" s="60"/>
      <c r="HLE21" s="60"/>
      <c r="HLI21" s="60"/>
      <c r="HLM21" s="60"/>
      <c r="HLQ21" s="60"/>
      <c r="HLU21" s="60"/>
      <c r="HLY21" s="60"/>
      <c r="HMC21" s="60"/>
      <c r="HMG21" s="60"/>
      <c r="HMK21" s="60"/>
      <c r="HMO21" s="60"/>
      <c r="HMS21" s="60"/>
      <c r="HMW21" s="60"/>
      <c r="HNA21" s="60"/>
      <c r="HNE21" s="60"/>
      <c r="HNI21" s="60"/>
      <c r="HNM21" s="60"/>
      <c r="HNQ21" s="60"/>
      <c r="HNU21" s="60"/>
      <c r="HNY21" s="60"/>
      <c r="HOC21" s="60"/>
      <c r="HOG21" s="60"/>
      <c r="HOK21" s="60"/>
      <c r="HOO21" s="60"/>
      <c r="HOS21" s="60"/>
      <c r="HOW21" s="60"/>
      <c r="HPA21" s="60"/>
      <c r="HPE21" s="60"/>
      <c r="HPI21" s="60"/>
      <c r="HPM21" s="60"/>
      <c r="HPQ21" s="60"/>
      <c r="HPU21" s="60"/>
      <c r="HPY21" s="60"/>
      <c r="HQC21" s="60"/>
      <c r="HQG21" s="60"/>
      <c r="HQK21" s="60"/>
      <c r="HQO21" s="60"/>
      <c r="HQS21" s="60"/>
      <c r="HQW21" s="60"/>
      <c r="HRA21" s="60"/>
      <c r="HRE21" s="60"/>
      <c r="HRI21" s="60"/>
      <c r="HRM21" s="60"/>
      <c r="HRQ21" s="60"/>
      <c r="HRU21" s="60"/>
      <c r="HRY21" s="60"/>
      <c r="HSC21" s="60"/>
      <c r="HSG21" s="60"/>
      <c r="HSK21" s="60"/>
      <c r="HSO21" s="60"/>
      <c r="HSS21" s="60"/>
      <c r="HSW21" s="60"/>
      <c r="HTA21" s="60"/>
      <c r="HTE21" s="60"/>
      <c r="HTI21" s="60"/>
      <c r="HTM21" s="60"/>
      <c r="HTQ21" s="60"/>
      <c r="HTU21" s="60"/>
      <c r="HTY21" s="60"/>
      <c r="HUC21" s="60"/>
      <c r="HUG21" s="60"/>
      <c r="HUK21" s="60"/>
      <c r="HUO21" s="60"/>
      <c r="HUS21" s="60"/>
      <c r="HUW21" s="60"/>
      <c r="HVA21" s="60"/>
      <c r="HVE21" s="60"/>
      <c r="HVI21" s="60"/>
      <c r="HVM21" s="60"/>
      <c r="HVQ21" s="60"/>
      <c r="HVU21" s="60"/>
      <c r="HVY21" s="60"/>
      <c r="HWC21" s="60"/>
      <c r="HWG21" s="60"/>
      <c r="HWK21" s="60"/>
      <c r="HWO21" s="60"/>
      <c r="HWS21" s="60"/>
      <c r="HWW21" s="60"/>
      <c r="HXA21" s="60"/>
      <c r="HXE21" s="60"/>
      <c r="HXI21" s="60"/>
      <c r="HXM21" s="60"/>
      <c r="HXQ21" s="60"/>
      <c r="HXU21" s="60"/>
      <c r="HXY21" s="60"/>
      <c r="HYC21" s="60"/>
      <c r="HYG21" s="60"/>
      <c r="HYK21" s="60"/>
      <c r="HYO21" s="60"/>
      <c r="HYS21" s="60"/>
      <c r="HYW21" s="60"/>
      <c r="HZA21" s="60"/>
      <c r="HZE21" s="60"/>
      <c r="HZI21" s="60"/>
      <c r="HZM21" s="60"/>
      <c r="HZQ21" s="60"/>
      <c r="HZU21" s="60"/>
      <c r="HZY21" s="60"/>
      <c r="IAC21" s="60"/>
      <c r="IAG21" s="60"/>
      <c r="IAK21" s="60"/>
      <c r="IAO21" s="60"/>
      <c r="IAS21" s="60"/>
      <c r="IAW21" s="60"/>
      <c r="IBA21" s="60"/>
      <c r="IBE21" s="60"/>
      <c r="IBI21" s="60"/>
      <c r="IBM21" s="60"/>
      <c r="IBQ21" s="60"/>
      <c r="IBU21" s="60"/>
      <c r="IBY21" s="60"/>
      <c r="ICC21" s="60"/>
      <c r="ICG21" s="60"/>
      <c r="ICK21" s="60"/>
      <c r="ICO21" s="60"/>
      <c r="ICS21" s="60"/>
      <c r="ICW21" s="60"/>
      <c r="IDA21" s="60"/>
      <c r="IDE21" s="60"/>
      <c r="IDI21" s="60"/>
      <c r="IDM21" s="60"/>
      <c r="IDQ21" s="60"/>
      <c r="IDU21" s="60"/>
      <c r="IDY21" s="60"/>
      <c r="IEC21" s="60"/>
      <c r="IEG21" s="60"/>
      <c r="IEK21" s="60"/>
      <c r="IEO21" s="60"/>
      <c r="IES21" s="60"/>
      <c r="IEW21" s="60"/>
      <c r="IFA21" s="60"/>
      <c r="IFE21" s="60"/>
      <c r="IFI21" s="60"/>
      <c r="IFM21" s="60"/>
      <c r="IFQ21" s="60"/>
      <c r="IFU21" s="60"/>
      <c r="IFY21" s="60"/>
      <c r="IGC21" s="60"/>
      <c r="IGG21" s="60"/>
      <c r="IGK21" s="60"/>
      <c r="IGO21" s="60"/>
      <c r="IGS21" s="60"/>
      <c r="IGW21" s="60"/>
      <c r="IHA21" s="60"/>
      <c r="IHE21" s="60"/>
      <c r="IHI21" s="60"/>
      <c r="IHM21" s="60"/>
      <c r="IHQ21" s="60"/>
      <c r="IHU21" s="60"/>
      <c r="IHY21" s="60"/>
      <c r="IIC21" s="60"/>
      <c r="IIG21" s="60"/>
      <c r="IIK21" s="60"/>
      <c r="IIO21" s="60"/>
      <c r="IIS21" s="60"/>
      <c r="IIW21" s="60"/>
      <c r="IJA21" s="60"/>
      <c r="IJE21" s="60"/>
      <c r="IJI21" s="60"/>
      <c r="IJM21" s="60"/>
      <c r="IJQ21" s="60"/>
      <c r="IJU21" s="60"/>
      <c r="IJY21" s="60"/>
      <c r="IKC21" s="60"/>
      <c r="IKG21" s="60"/>
      <c r="IKK21" s="60"/>
      <c r="IKO21" s="60"/>
      <c r="IKS21" s="60"/>
      <c r="IKW21" s="60"/>
      <c r="ILA21" s="60"/>
      <c r="ILE21" s="60"/>
      <c r="ILI21" s="60"/>
      <c r="ILM21" s="60"/>
      <c r="ILQ21" s="60"/>
      <c r="ILU21" s="60"/>
      <c r="ILY21" s="60"/>
      <c r="IMC21" s="60"/>
      <c r="IMG21" s="60"/>
      <c r="IMK21" s="60"/>
      <c r="IMO21" s="60"/>
      <c r="IMS21" s="60"/>
      <c r="IMW21" s="60"/>
      <c r="INA21" s="60"/>
      <c r="INE21" s="60"/>
      <c r="INI21" s="60"/>
      <c r="INM21" s="60"/>
      <c r="INQ21" s="60"/>
      <c r="INU21" s="60"/>
      <c r="INY21" s="60"/>
      <c r="IOC21" s="60"/>
      <c r="IOG21" s="60"/>
      <c r="IOK21" s="60"/>
      <c r="IOO21" s="60"/>
      <c r="IOS21" s="60"/>
      <c r="IOW21" s="60"/>
      <c r="IPA21" s="60"/>
      <c r="IPE21" s="60"/>
      <c r="IPI21" s="60"/>
      <c r="IPM21" s="60"/>
      <c r="IPQ21" s="60"/>
      <c r="IPU21" s="60"/>
      <c r="IPY21" s="60"/>
      <c r="IQC21" s="60"/>
      <c r="IQG21" s="60"/>
      <c r="IQK21" s="60"/>
      <c r="IQO21" s="60"/>
      <c r="IQS21" s="60"/>
      <c r="IQW21" s="60"/>
      <c r="IRA21" s="60"/>
      <c r="IRE21" s="60"/>
      <c r="IRI21" s="60"/>
      <c r="IRM21" s="60"/>
      <c r="IRQ21" s="60"/>
      <c r="IRU21" s="60"/>
      <c r="IRY21" s="60"/>
      <c r="ISC21" s="60"/>
      <c r="ISG21" s="60"/>
      <c r="ISK21" s="60"/>
      <c r="ISO21" s="60"/>
      <c r="ISS21" s="60"/>
      <c r="ISW21" s="60"/>
      <c r="ITA21" s="60"/>
      <c r="ITE21" s="60"/>
      <c r="ITI21" s="60"/>
      <c r="ITM21" s="60"/>
      <c r="ITQ21" s="60"/>
      <c r="ITU21" s="60"/>
      <c r="ITY21" s="60"/>
      <c r="IUC21" s="60"/>
      <c r="IUG21" s="60"/>
      <c r="IUK21" s="60"/>
      <c r="IUO21" s="60"/>
      <c r="IUS21" s="60"/>
      <c r="IUW21" s="60"/>
      <c r="IVA21" s="60"/>
      <c r="IVE21" s="60"/>
      <c r="IVI21" s="60"/>
      <c r="IVM21" s="60"/>
      <c r="IVQ21" s="60"/>
      <c r="IVU21" s="60"/>
      <c r="IVY21" s="60"/>
      <c r="IWC21" s="60"/>
      <c r="IWG21" s="60"/>
      <c r="IWK21" s="60"/>
      <c r="IWO21" s="60"/>
      <c r="IWS21" s="60"/>
      <c r="IWW21" s="60"/>
      <c r="IXA21" s="60"/>
      <c r="IXE21" s="60"/>
      <c r="IXI21" s="60"/>
      <c r="IXM21" s="60"/>
      <c r="IXQ21" s="60"/>
      <c r="IXU21" s="60"/>
      <c r="IXY21" s="60"/>
      <c r="IYC21" s="60"/>
      <c r="IYG21" s="60"/>
      <c r="IYK21" s="60"/>
      <c r="IYO21" s="60"/>
      <c r="IYS21" s="60"/>
      <c r="IYW21" s="60"/>
      <c r="IZA21" s="60"/>
      <c r="IZE21" s="60"/>
      <c r="IZI21" s="60"/>
      <c r="IZM21" s="60"/>
      <c r="IZQ21" s="60"/>
      <c r="IZU21" s="60"/>
      <c r="IZY21" s="60"/>
      <c r="JAC21" s="60"/>
      <c r="JAG21" s="60"/>
      <c r="JAK21" s="60"/>
      <c r="JAO21" s="60"/>
      <c r="JAS21" s="60"/>
      <c r="JAW21" s="60"/>
      <c r="JBA21" s="60"/>
      <c r="JBE21" s="60"/>
      <c r="JBI21" s="60"/>
      <c r="JBM21" s="60"/>
      <c r="JBQ21" s="60"/>
      <c r="JBU21" s="60"/>
      <c r="JBY21" s="60"/>
      <c r="JCC21" s="60"/>
      <c r="JCG21" s="60"/>
      <c r="JCK21" s="60"/>
      <c r="JCO21" s="60"/>
      <c r="JCS21" s="60"/>
      <c r="JCW21" s="60"/>
      <c r="JDA21" s="60"/>
      <c r="JDE21" s="60"/>
      <c r="JDI21" s="60"/>
      <c r="JDM21" s="60"/>
      <c r="JDQ21" s="60"/>
      <c r="JDU21" s="60"/>
      <c r="JDY21" s="60"/>
      <c r="JEC21" s="60"/>
      <c r="JEG21" s="60"/>
      <c r="JEK21" s="60"/>
      <c r="JEO21" s="60"/>
      <c r="JES21" s="60"/>
      <c r="JEW21" s="60"/>
      <c r="JFA21" s="60"/>
      <c r="JFE21" s="60"/>
      <c r="JFI21" s="60"/>
      <c r="JFM21" s="60"/>
      <c r="JFQ21" s="60"/>
      <c r="JFU21" s="60"/>
      <c r="JFY21" s="60"/>
      <c r="JGC21" s="60"/>
      <c r="JGG21" s="60"/>
      <c r="JGK21" s="60"/>
      <c r="JGO21" s="60"/>
      <c r="JGS21" s="60"/>
      <c r="JGW21" s="60"/>
      <c r="JHA21" s="60"/>
      <c r="JHE21" s="60"/>
      <c r="JHI21" s="60"/>
      <c r="JHM21" s="60"/>
      <c r="JHQ21" s="60"/>
      <c r="JHU21" s="60"/>
      <c r="JHY21" s="60"/>
      <c r="JIC21" s="60"/>
      <c r="JIG21" s="60"/>
      <c r="JIK21" s="60"/>
      <c r="JIO21" s="60"/>
      <c r="JIS21" s="60"/>
      <c r="JIW21" s="60"/>
      <c r="JJA21" s="60"/>
      <c r="JJE21" s="60"/>
      <c r="JJI21" s="60"/>
      <c r="JJM21" s="60"/>
      <c r="JJQ21" s="60"/>
      <c r="JJU21" s="60"/>
      <c r="JJY21" s="60"/>
      <c r="JKC21" s="60"/>
      <c r="JKG21" s="60"/>
      <c r="JKK21" s="60"/>
      <c r="JKO21" s="60"/>
      <c r="JKS21" s="60"/>
      <c r="JKW21" s="60"/>
      <c r="JLA21" s="60"/>
      <c r="JLE21" s="60"/>
      <c r="JLI21" s="60"/>
      <c r="JLM21" s="60"/>
      <c r="JLQ21" s="60"/>
      <c r="JLU21" s="60"/>
      <c r="JLY21" s="60"/>
      <c r="JMC21" s="60"/>
      <c r="JMG21" s="60"/>
      <c r="JMK21" s="60"/>
      <c r="JMO21" s="60"/>
      <c r="JMS21" s="60"/>
      <c r="JMW21" s="60"/>
      <c r="JNA21" s="60"/>
      <c r="JNE21" s="60"/>
      <c r="JNI21" s="60"/>
      <c r="JNM21" s="60"/>
      <c r="JNQ21" s="60"/>
      <c r="JNU21" s="60"/>
      <c r="JNY21" s="60"/>
      <c r="JOC21" s="60"/>
      <c r="JOG21" s="60"/>
      <c r="JOK21" s="60"/>
      <c r="JOO21" s="60"/>
      <c r="JOS21" s="60"/>
      <c r="JOW21" s="60"/>
      <c r="JPA21" s="60"/>
      <c r="JPE21" s="60"/>
      <c r="JPI21" s="60"/>
      <c r="JPM21" s="60"/>
      <c r="JPQ21" s="60"/>
      <c r="JPU21" s="60"/>
      <c r="JPY21" s="60"/>
      <c r="JQC21" s="60"/>
      <c r="JQG21" s="60"/>
      <c r="JQK21" s="60"/>
      <c r="JQO21" s="60"/>
      <c r="JQS21" s="60"/>
      <c r="JQW21" s="60"/>
      <c r="JRA21" s="60"/>
      <c r="JRE21" s="60"/>
      <c r="JRI21" s="60"/>
      <c r="JRM21" s="60"/>
      <c r="JRQ21" s="60"/>
      <c r="JRU21" s="60"/>
      <c r="JRY21" s="60"/>
      <c r="JSC21" s="60"/>
      <c r="JSG21" s="60"/>
      <c r="JSK21" s="60"/>
      <c r="JSO21" s="60"/>
      <c r="JSS21" s="60"/>
      <c r="JSW21" s="60"/>
      <c r="JTA21" s="60"/>
      <c r="JTE21" s="60"/>
      <c r="JTI21" s="60"/>
      <c r="JTM21" s="60"/>
      <c r="JTQ21" s="60"/>
      <c r="JTU21" s="60"/>
      <c r="JTY21" s="60"/>
      <c r="JUC21" s="60"/>
      <c r="JUG21" s="60"/>
      <c r="JUK21" s="60"/>
      <c r="JUO21" s="60"/>
      <c r="JUS21" s="60"/>
      <c r="JUW21" s="60"/>
      <c r="JVA21" s="60"/>
      <c r="JVE21" s="60"/>
      <c r="JVI21" s="60"/>
      <c r="JVM21" s="60"/>
      <c r="JVQ21" s="60"/>
      <c r="JVU21" s="60"/>
      <c r="JVY21" s="60"/>
      <c r="JWC21" s="60"/>
      <c r="JWG21" s="60"/>
      <c r="JWK21" s="60"/>
      <c r="JWO21" s="60"/>
      <c r="JWS21" s="60"/>
      <c r="JWW21" s="60"/>
      <c r="JXA21" s="60"/>
      <c r="JXE21" s="60"/>
      <c r="JXI21" s="60"/>
      <c r="JXM21" s="60"/>
      <c r="JXQ21" s="60"/>
      <c r="JXU21" s="60"/>
      <c r="JXY21" s="60"/>
      <c r="JYC21" s="60"/>
      <c r="JYG21" s="60"/>
      <c r="JYK21" s="60"/>
      <c r="JYO21" s="60"/>
      <c r="JYS21" s="60"/>
      <c r="JYW21" s="60"/>
      <c r="JZA21" s="60"/>
      <c r="JZE21" s="60"/>
      <c r="JZI21" s="60"/>
      <c r="JZM21" s="60"/>
      <c r="JZQ21" s="60"/>
      <c r="JZU21" s="60"/>
      <c r="JZY21" s="60"/>
      <c r="KAC21" s="60"/>
      <c r="KAG21" s="60"/>
      <c r="KAK21" s="60"/>
      <c r="KAO21" s="60"/>
      <c r="KAS21" s="60"/>
      <c r="KAW21" s="60"/>
      <c r="KBA21" s="60"/>
      <c r="KBE21" s="60"/>
      <c r="KBI21" s="60"/>
      <c r="KBM21" s="60"/>
      <c r="KBQ21" s="60"/>
      <c r="KBU21" s="60"/>
      <c r="KBY21" s="60"/>
      <c r="KCC21" s="60"/>
      <c r="KCG21" s="60"/>
      <c r="KCK21" s="60"/>
      <c r="KCO21" s="60"/>
      <c r="KCS21" s="60"/>
      <c r="KCW21" s="60"/>
      <c r="KDA21" s="60"/>
      <c r="KDE21" s="60"/>
      <c r="KDI21" s="60"/>
      <c r="KDM21" s="60"/>
      <c r="KDQ21" s="60"/>
      <c r="KDU21" s="60"/>
      <c r="KDY21" s="60"/>
      <c r="KEC21" s="60"/>
      <c r="KEG21" s="60"/>
      <c r="KEK21" s="60"/>
      <c r="KEO21" s="60"/>
      <c r="KES21" s="60"/>
      <c r="KEW21" s="60"/>
      <c r="KFA21" s="60"/>
      <c r="KFE21" s="60"/>
      <c r="KFI21" s="60"/>
      <c r="KFM21" s="60"/>
      <c r="KFQ21" s="60"/>
      <c r="KFU21" s="60"/>
      <c r="KFY21" s="60"/>
      <c r="KGC21" s="60"/>
      <c r="KGG21" s="60"/>
      <c r="KGK21" s="60"/>
      <c r="KGO21" s="60"/>
      <c r="KGS21" s="60"/>
      <c r="KGW21" s="60"/>
      <c r="KHA21" s="60"/>
      <c r="KHE21" s="60"/>
      <c r="KHI21" s="60"/>
      <c r="KHM21" s="60"/>
      <c r="KHQ21" s="60"/>
      <c r="KHU21" s="60"/>
      <c r="KHY21" s="60"/>
      <c r="KIC21" s="60"/>
      <c r="KIG21" s="60"/>
      <c r="KIK21" s="60"/>
      <c r="KIO21" s="60"/>
      <c r="KIS21" s="60"/>
      <c r="KIW21" s="60"/>
      <c r="KJA21" s="60"/>
      <c r="KJE21" s="60"/>
      <c r="KJI21" s="60"/>
      <c r="KJM21" s="60"/>
      <c r="KJQ21" s="60"/>
      <c r="KJU21" s="60"/>
      <c r="KJY21" s="60"/>
      <c r="KKC21" s="60"/>
      <c r="KKG21" s="60"/>
      <c r="KKK21" s="60"/>
      <c r="KKO21" s="60"/>
      <c r="KKS21" s="60"/>
      <c r="KKW21" s="60"/>
      <c r="KLA21" s="60"/>
      <c r="KLE21" s="60"/>
      <c r="KLI21" s="60"/>
      <c r="KLM21" s="60"/>
      <c r="KLQ21" s="60"/>
      <c r="KLU21" s="60"/>
      <c r="KLY21" s="60"/>
      <c r="KMC21" s="60"/>
      <c r="KMG21" s="60"/>
      <c r="KMK21" s="60"/>
      <c r="KMO21" s="60"/>
      <c r="KMS21" s="60"/>
      <c r="KMW21" s="60"/>
      <c r="KNA21" s="60"/>
      <c r="KNE21" s="60"/>
      <c r="KNI21" s="60"/>
      <c r="KNM21" s="60"/>
      <c r="KNQ21" s="60"/>
      <c r="KNU21" s="60"/>
      <c r="KNY21" s="60"/>
      <c r="KOC21" s="60"/>
      <c r="KOG21" s="60"/>
      <c r="KOK21" s="60"/>
      <c r="KOO21" s="60"/>
      <c r="KOS21" s="60"/>
      <c r="KOW21" s="60"/>
      <c r="KPA21" s="60"/>
      <c r="KPE21" s="60"/>
      <c r="KPI21" s="60"/>
      <c r="KPM21" s="60"/>
      <c r="KPQ21" s="60"/>
      <c r="KPU21" s="60"/>
      <c r="KPY21" s="60"/>
      <c r="KQC21" s="60"/>
      <c r="KQG21" s="60"/>
      <c r="KQK21" s="60"/>
      <c r="KQO21" s="60"/>
      <c r="KQS21" s="60"/>
      <c r="KQW21" s="60"/>
      <c r="KRA21" s="60"/>
      <c r="KRE21" s="60"/>
      <c r="KRI21" s="60"/>
      <c r="KRM21" s="60"/>
      <c r="KRQ21" s="60"/>
      <c r="KRU21" s="60"/>
      <c r="KRY21" s="60"/>
      <c r="KSC21" s="60"/>
      <c r="KSG21" s="60"/>
      <c r="KSK21" s="60"/>
      <c r="KSO21" s="60"/>
      <c r="KSS21" s="60"/>
      <c r="KSW21" s="60"/>
      <c r="KTA21" s="60"/>
      <c r="KTE21" s="60"/>
      <c r="KTI21" s="60"/>
      <c r="KTM21" s="60"/>
      <c r="KTQ21" s="60"/>
      <c r="KTU21" s="60"/>
      <c r="KTY21" s="60"/>
      <c r="KUC21" s="60"/>
      <c r="KUG21" s="60"/>
      <c r="KUK21" s="60"/>
      <c r="KUO21" s="60"/>
      <c r="KUS21" s="60"/>
      <c r="KUW21" s="60"/>
      <c r="KVA21" s="60"/>
      <c r="KVE21" s="60"/>
      <c r="KVI21" s="60"/>
      <c r="KVM21" s="60"/>
      <c r="KVQ21" s="60"/>
      <c r="KVU21" s="60"/>
      <c r="KVY21" s="60"/>
      <c r="KWC21" s="60"/>
      <c r="KWG21" s="60"/>
      <c r="KWK21" s="60"/>
      <c r="KWO21" s="60"/>
      <c r="KWS21" s="60"/>
      <c r="KWW21" s="60"/>
      <c r="KXA21" s="60"/>
      <c r="KXE21" s="60"/>
      <c r="KXI21" s="60"/>
      <c r="KXM21" s="60"/>
      <c r="KXQ21" s="60"/>
      <c r="KXU21" s="60"/>
      <c r="KXY21" s="60"/>
      <c r="KYC21" s="60"/>
      <c r="KYG21" s="60"/>
      <c r="KYK21" s="60"/>
      <c r="KYO21" s="60"/>
      <c r="KYS21" s="60"/>
      <c r="KYW21" s="60"/>
      <c r="KZA21" s="60"/>
      <c r="KZE21" s="60"/>
      <c r="KZI21" s="60"/>
      <c r="KZM21" s="60"/>
      <c r="KZQ21" s="60"/>
      <c r="KZU21" s="60"/>
      <c r="KZY21" s="60"/>
      <c r="LAC21" s="60"/>
      <c r="LAG21" s="60"/>
      <c r="LAK21" s="60"/>
      <c r="LAO21" s="60"/>
      <c r="LAS21" s="60"/>
      <c r="LAW21" s="60"/>
      <c r="LBA21" s="60"/>
      <c r="LBE21" s="60"/>
      <c r="LBI21" s="60"/>
      <c r="LBM21" s="60"/>
      <c r="LBQ21" s="60"/>
      <c r="LBU21" s="60"/>
      <c r="LBY21" s="60"/>
      <c r="LCC21" s="60"/>
      <c r="LCG21" s="60"/>
      <c r="LCK21" s="60"/>
      <c r="LCO21" s="60"/>
      <c r="LCS21" s="60"/>
      <c r="LCW21" s="60"/>
      <c r="LDA21" s="60"/>
      <c r="LDE21" s="60"/>
      <c r="LDI21" s="60"/>
      <c r="LDM21" s="60"/>
      <c r="LDQ21" s="60"/>
      <c r="LDU21" s="60"/>
      <c r="LDY21" s="60"/>
      <c r="LEC21" s="60"/>
      <c r="LEG21" s="60"/>
      <c r="LEK21" s="60"/>
      <c r="LEO21" s="60"/>
      <c r="LES21" s="60"/>
      <c r="LEW21" s="60"/>
      <c r="LFA21" s="60"/>
      <c r="LFE21" s="60"/>
      <c r="LFI21" s="60"/>
      <c r="LFM21" s="60"/>
      <c r="LFQ21" s="60"/>
      <c r="LFU21" s="60"/>
      <c r="LFY21" s="60"/>
      <c r="LGC21" s="60"/>
      <c r="LGG21" s="60"/>
      <c r="LGK21" s="60"/>
      <c r="LGO21" s="60"/>
      <c r="LGS21" s="60"/>
      <c r="LGW21" s="60"/>
      <c r="LHA21" s="60"/>
      <c r="LHE21" s="60"/>
      <c r="LHI21" s="60"/>
      <c r="LHM21" s="60"/>
      <c r="LHQ21" s="60"/>
      <c r="LHU21" s="60"/>
      <c r="LHY21" s="60"/>
      <c r="LIC21" s="60"/>
      <c r="LIG21" s="60"/>
      <c r="LIK21" s="60"/>
      <c r="LIO21" s="60"/>
      <c r="LIS21" s="60"/>
      <c r="LIW21" s="60"/>
      <c r="LJA21" s="60"/>
      <c r="LJE21" s="60"/>
      <c r="LJI21" s="60"/>
      <c r="LJM21" s="60"/>
      <c r="LJQ21" s="60"/>
      <c r="LJU21" s="60"/>
      <c r="LJY21" s="60"/>
      <c r="LKC21" s="60"/>
      <c r="LKG21" s="60"/>
      <c r="LKK21" s="60"/>
      <c r="LKO21" s="60"/>
      <c r="LKS21" s="60"/>
      <c r="LKW21" s="60"/>
      <c r="LLA21" s="60"/>
      <c r="LLE21" s="60"/>
      <c r="LLI21" s="60"/>
      <c r="LLM21" s="60"/>
      <c r="LLQ21" s="60"/>
      <c r="LLU21" s="60"/>
      <c r="LLY21" s="60"/>
      <c r="LMC21" s="60"/>
      <c r="LMG21" s="60"/>
      <c r="LMK21" s="60"/>
      <c r="LMO21" s="60"/>
      <c r="LMS21" s="60"/>
      <c r="LMW21" s="60"/>
      <c r="LNA21" s="60"/>
      <c r="LNE21" s="60"/>
      <c r="LNI21" s="60"/>
      <c r="LNM21" s="60"/>
      <c r="LNQ21" s="60"/>
      <c r="LNU21" s="60"/>
      <c r="LNY21" s="60"/>
      <c r="LOC21" s="60"/>
      <c r="LOG21" s="60"/>
      <c r="LOK21" s="60"/>
      <c r="LOO21" s="60"/>
      <c r="LOS21" s="60"/>
      <c r="LOW21" s="60"/>
      <c r="LPA21" s="60"/>
      <c r="LPE21" s="60"/>
      <c r="LPI21" s="60"/>
      <c r="LPM21" s="60"/>
      <c r="LPQ21" s="60"/>
      <c r="LPU21" s="60"/>
      <c r="LPY21" s="60"/>
      <c r="LQC21" s="60"/>
      <c r="LQG21" s="60"/>
      <c r="LQK21" s="60"/>
      <c r="LQO21" s="60"/>
      <c r="LQS21" s="60"/>
      <c r="LQW21" s="60"/>
      <c r="LRA21" s="60"/>
      <c r="LRE21" s="60"/>
      <c r="LRI21" s="60"/>
      <c r="LRM21" s="60"/>
      <c r="LRQ21" s="60"/>
      <c r="LRU21" s="60"/>
      <c r="LRY21" s="60"/>
      <c r="LSC21" s="60"/>
      <c r="LSG21" s="60"/>
      <c r="LSK21" s="60"/>
      <c r="LSO21" s="60"/>
      <c r="LSS21" s="60"/>
      <c r="LSW21" s="60"/>
      <c r="LTA21" s="60"/>
      <c r="LTE21" s="60"/>
      <c r="LTI21" s="60"/>
      <c r="LTM21" s="60"/>
      <c r="LTQ21" s="60"/>
      <c r="LTU21" s="60"/>
      <c r="LTY21" s="60"/>
      <c r="LUC21" s="60"/>
      <c r="LUG21" s="60"/>
      <c r="LUK21" s="60"/>
      <c r="LUO21" s="60"/>
      <c r="LUS21" s="60"/>
      <c r="LUW21" s="60"/>
      <c r="LVA21" s="60"/>
      <c r="LVE21" s="60"/>
      <c r="LVI21" s="60"/>
      <c r="LVM21" s="60"/>
      <c r="LVQ21" s="60"/>
      <c r="LVU21" s="60"/>
      <c r="LVY21" s="60"/>
      <c r="LWC21" s="60"/>
      <c r="LWG21" s="60"/>
      <c r="LWK21" s="60"/>
      <c r="LWO21" s="60"/>
      <c r="LWS21" s="60"/>
      <c r="LWW21" s="60"/>
      <c r="LXA21" s="60"/>
      <c r="LXE21" s="60"/>
      <c r="LXI21" s="60"/>
      <c r="LXM21" s="60"/>
      <c r="LXQ21" s="60"/>
      <c r="LXU21" s="60"/>
      <c r="LXY21" s="60"/>
      <c r="LYC21" s="60"/>
      <c r="LYG21" s="60"/>
      <c r="LYK21" s="60"/>
      <c r="LYO21" s="60"/>
      <c r="LYS21" s="60"/>
      <c r="LYW21" s="60"/>
      <c r="LZA21" s="60"/>
      <c r="LZE21" s="60"/>
      <c r="LZI21" s="60"/>
      <c r="LZM21" s="60"/>
      <c r="LZQ21" s="60"/>
      <c r="LZU21" s="60"/>
      <c r="LZY21" s="60"/>
      <c r="MAC21" s="60"/>
      <c r="MAG21" s="60"/>
      <c r="MAK21" s="60"/>
      <c r="MAO21" s="60"/>
      <c r="MAS21" s="60"/>
      <c r="MAW21" s="60"/>
      <c r="MBA21" s="60"/>
      <c r="MBE21" s="60"/>
      <c r="MBI21" s="60"/>
      <c r="MBM21" s="60"/>
      <c r="MBQ21" s="60"/>
      <c r="MBU21" s="60"/>
      <c r="MBY21" s="60"/>
      <c r="MCC21" s="60"/>
      <c r="MCG21" s="60"/>
      <c r="MCK21" s="60"/>
      <c r="MCO21" s="60"/>
      <c r="MCS21" s="60"/>
      <c r="MCW21" s="60"/>
      <c r="MDA21" s="60"/>
      <c r="MDE21" s="60"/>
      <c r="MDI21" s="60"/>
      <c r="MDM21" s="60"/>
      <c r="MDQ21" s="60"/>
      <c r="MDU21" s="60"/>
      <c r="MDY21" s="60"/>
      <c r="MEC21" s="60"/>
      <c r="MEG21" s="60"/>
      <c r="MEK21" s="60"/>
      <c r="MEO21" s="60"/>
      <c r="MES21" s="60"/>
      <c r="MEW21" s="60"/>
      <c r="MFA21" s="60"/>
      <c r="MFE21" s="60"/>
      <c r="MFI21" s="60"/>
      <c r="MFM21" s="60"/>
      <c r="MFQ21" s="60"/>
      <c r="MFU21" s="60"/>
      <c r="MFY21" s="60"/>
      <c r="MGC21" s="60"/>
      <c r="MGG21" s="60"/>
      <c r="MGK21" s="60"/>
      <c r="MGO21" s="60"/>
      <c r="MGS21" s="60"/>
      <c r="MGW21" s="60"/>
      <c r="MHA21" s="60"/>
      <c r="MHE21" s="60"/>
      <c r="MHI21" s="60"/>
      <c r="MHM21" s="60"/>
      <c r="MHQ21" s="60"/>
      <c r="MHU21" s="60"/>
      <c r="MHY21" s="60"/>
      <c r="MIC21" s="60"/>
      <c r="MIG21" s="60"/>
      <c r="MIK21" s="60"/>
      <c r="MIO21" s="60"/>
      <c r="MIS21" s="60"/>
      <c r="MIW21" s="60"/>
      <c r="MJA21" s="60"/>
      <c r="MJE21" s="60"/>
      <c r="MJI21" s="60"/>
      <c r="MJM21" s="60"/>
      <c r="MJQ21" s="60"/>
      <c r="MJU21" s="60"/>
      <c r="MJY21" s="60"/>
      <c r="MKC21" s="60"/>
      <c r="MKG21" s="60"/>
      <c r="MKK21" s="60"/>
      <c r="MKO21" s="60"/>
      <c r="MKS21" s="60"/>
      <c r="MKW21" s="60"/>
      <c r="MLA21" s="60"/>
      <c r="MLE21" s="60"/>
      <c r="MLI21" s="60"/>
      <c r="MLM21" s="60"/>
      <c r="MLQ21" s="60"/>
      <c r="MLU21" s="60"/>
      <c r="MLY21" s="60"/>
      <c r="MMC21" s="60"/>
      <c r="MMG21" s="60"/>
      <c r="MMK21" s="60"/>
      <c r="MMO21" s="60"/>
      <c r="MMS21" s="60"/>
      <c r="MMW21" s="60"/>
      <c r="MNA21" s="60"/>
      <c r="MNE21" s="60"/>
      <c r="MNI21" s="60"/>
      <c r="MNM21" s="60"/>
      <c r="MNQ21" s="60"/>
      <c r="MNU21" s="60"/>
      <c r="MNY21" s="60"/>
      <c r="MOC21" s="60"/>
      <c r="MOG21" s="60"/>
      <c r="MOK21" s="60"/>
      <c r="MOO21" s="60"/>
      <c r="MOS21" s="60"/>
      <c r="MOW21" s="60"/>
      <c r="MPA21" s="60"/>
      <c r="MPE21" s="60"/>
      <c r="MPI21" s="60"/>
      <c r="MPM21" s="60"/>
      <c r="MPQ21" s="60"/>
      <c r="MPU21" s="60"/>
      <c r="MPY21" s="60"/>
      <c r="MQC21" s="60"/>
      <c r="MQG21" s="60"/>
      <c r="MQK21" s="60"/>
      <c r="MQO21" s="60"/>
      <c r="MQS21" s="60"/>
      <c r="MQW21" s="60"/>
      <c r="MRA21" s="60"/>
      <c r="MRE21" s="60"/>
      <c r="MRI21" s="60"/>
      <c r="MRM21" s="60"/>
      <c r="MRQ21" s="60"/>
      <c r="MRU21" s="60"/>
      <c r="MRY21" s="60"/>
      <c r="MSC21" s="60"/>
      <c r="MSG21" s="60"/>
      <c r="MSK21" s="60"/>
      <c r="MSO21" s="60"/>
      <c r="MSS21" s="60"/>
      <c r="MSW21" s="60"/>
      <c r="MTA21" s="60"/>
      <c r="MTE21" s="60"/>
      <c r="MTI21" s="60"/>
      <c r="MTM21" s="60"/>
      <c r="MTQ21" s="60"/>
      <c r="MTU21" s="60"/>
      <c r="MTY21" s="60"/>
      <c r="MUC21" s="60"/>
      <c r="MUG21" s="60"/>
      <c r="MUK21" s="60"/>
      <c r="MUO21" s="60"/>
      <c r="MUS21" s="60"/>
      <c r="MUW21" s="60"/>
      <c r="MVA21" s="60"/>
      <c r="MVE21" s="60"/>
      <c r="MVI21" s="60"/>
      <c r="MVM21" s="60"/>
      <c r="MVQ21" s="60"/>
      <c r="MVU21" s="60"/>
      <c r="MVY21" s="60"/>
      <c r="MWC21" s="60"/>
      <c r="MWG21" s="60"/>
      <c r="MWK21" s="60"/>
      <c r="MWO21" s="60"/>
      <c r="MWS21" s="60"/>
      <c r="MWW21" s="60"/>
      <c r="MXA21" s="60"/>
      <c r="MXE21" s="60"/>
      <c r="MXI21" s="60"/>
      <c r="MXM21" s="60"/>
      <c r="MXQ21" s="60"/>
      <c r="MXU21" s="60"/>
      <c r="MXY21" s="60"/>
      <c r="MYC21" s="60"/>
      <c r="MYG21" s="60"/>
      <c r="MYK21" s="60"/>
      <c r="MYO21" s="60"/>
      <c r="MYS21" s="60"/>
      <c r="MYW21" s="60"/>
      <c r="MZA21" s="60"/>
      <c r="MZE21" s="60"/>
      <c r="MZI21" s="60"/>
      <c r="MZM21" s="60"/>
      <c r="MZQ21" s="60"/>
      <c r="MZU21" s="60"/>
      <c r="MZY21" s="60"/>
      <c r="NAC21" s="60"/>
      <c r="NAG21" s="60"/>
      <c r="NAK21" s="60"/>
      <c r="NAO21" s="60"/>
      <c r="NAS21" s="60"/>
      <c r="NAW21" s="60"/>
      <c r="NBA21" s="60"/>
      <c r="NBE21" s="60"/>
      <c r="NBI21" s="60"/>
      <c r="NBM21" s="60"/>
      <c r="NBQ21" s="60"/>
      <c r="NBU21" s="60"/>
      <c r="NBY21" s="60"/>
      <c r="NCC21" s="60"/>
      <c r="NCG21" s="60"/>
      <c r="NCK21" s="60"/>
      <c r="NCO21" s="60"/>
      <c r="NCS21" s="60"/>
      <c r="NCW21" s="60"/>
      <c r="NDA21" s="60"/>
      <c r="NDE21" s="60"/>
      <c r="NDI21" s="60"/>
      <c r="NDM21" s="60"/>
      <c r="NDQ21" s="60"/>
      <c r="NDU21" s="60"/>
      <c r="NDY21" s="60"/>
      <c r="NEC21" s="60"/>
      <c r="NEG21" s="60"/>
      <c r="NEK21" s="60"/>
      <c r="NEO21" s="60"/>
      <c r="NES21" s="60"/>
      <c r="NEW21" s="60"/>
      <c r="NFA21" s="60"/>
      <c r="NFE21" s="60"/>
      <c r="NFI21" s="60"/>
      <c r="NFM21" s="60"/>
      <c r="NFQ21" s="60"/>
      <c r="NFU21" s="60"/>
      <c r="NFY21" s="60"/>
      <c r="NGC21" s="60"/>
      <c r="NGG21" s="60"/>
      <c r="NGK21" s="60"/>
      <c r="NGO21" s="60"/>
      <c r="NGS21" s="60"/>
      <c r="NGW21" s="60"/>
      <c r="NHA21" s="60"/>
      <c r="NHE21" s="60"/>
      <c r="NHI21" s="60"/>
      <c r="NHM21" s="60"/>
      <c r="NHQ21" s="60"/>
      <c r="NHU21" s="60"/>
      <c r="NHY21" s="60"/>
      <c r="NIC21" s="60"/>
      <c r="NIG21" s="60"/>
      <c r="NIK21" s="60"/>
      <c r="NIO21" s="60"/>
      <c r="NIS21" s="60"/>
      <c r="NIW21" s="60"/>
      <c r="NJA21" s="60"/>
      <c r="NJE21" s="60"/>
      <c r="NJI21" s="60"/>
      <c r="NJM21" s="60"/>
      <c r="NJQ21" s="60"/>
      <c r="NJU21" s="60"/>
      <c r="NJY21" s="60"/>
      <c r="NKC21" s="60"/>
      <c r="NKG21" s="60"/>
      <c r="NKK21" s="60"/>
      <c r="NKO21" s="60"/>
      <c r="NKS21" s="60"/>
      <c r="NKW21" s="60"/>
      <c r="NLA21" s="60"/>
      <c r="NLE21" s="60"/>
      <c r="NLI21" s="60"/>
      <c r="NLM21" s="60"/>
      <c r="NLQ21" s="60"/>
      <c r="NLU21" s="60"/>
      <c r="NLY21" s="60"/>
      <c r="NMC21" s="60"/>
      <c r="NMG21" s="60"/>
      <c r="NMK21" s="60"/>
      <c r="NMO21" s="60"/>
      <c r="NMS21" s="60"/>
      <c r="NMW21" s="60"/>
      <c r="NNA21" s="60"/>
      <c r="NNE21" s="60"/>
      <c r="NNI21" s="60"/>
      <c r="NNM21" s="60"/>
      <c r="NNQ21" s="60"/>
      <c r="NNU21" s="60"/>
      <c r="NNY21" s="60"/>
      <c r="NOC21" s="60"/>
      <c r="NOG21" s="60"/>
      <c r="NOK21" s="60"/>
      <c r="NOO21" s="60"/>
      <c r="NOS21" s="60"/>
      <c r="NOW21" s="60"/>
      <c r="NPA21" s="60"/>
      <c r="NPE21" s="60"/>
      <c r="NPI21" s="60"/>
      <c r="NPM21" s="60"/>
      <c r="NPQ21" s="60"/>
      <c r="NPU21" s="60"/>
      <c r="NPY21" s="60"/>
      <c r="NQC21" s="60"/>
      <c r="NQG21" s="60"/>
      <c r="NQK21" s="60"/>
      <c r="NQO21" s="60"/>
      <c r="NQS21" s="60"/>
      <c r="NQW21" s="60"/>
      <c r="NRA21" s="60"/>
      <c r="NRE21" s="60"/>
      <c r="NRI21" s="60"/>
      <c r="NRM21" s="60"/>
      <c r="NRQ21" s="60"/>
      <c r="NRU21" s="60"/>
      <c r="NRY21" s="60"/>
      <c r="NSC21" s="60"/>
      <c r="NSG21" s="60"/>
      <c r="NSK21" s="60"/>
      <c r="NSO21" s="60"/>
      <c r="NSS21" s="60"/>
      <c r="NSW21" s="60"/>
      <c r="NTA21" s="60"/>
      <c r="NTE21" s="60"/>
      <c r="NTI21" s="60"/>
      <c r="NTM21" s="60"/>
      <c r="NTQ21" s="60"/>
      <c r="NTU21" s="60"/>
      <c r="NTY21" s="60"/>
      <c r="NUC21" s="60"/>
      <c r="NUG21" s="60"/>
      <c r="NUK21" s="60"/>
      <c r="NUO21" s="60"/>
      <c r="NUS21" s="60"/>
      <c r="NUW21" s="60"/>
      <c r="NVA21" s="60"/>
      <c r="NVE21" s="60"/>
      <c r="NVI21" s="60"/>
      <c r="NVM21" s="60"/>
      <c r="NVQ21" s="60"/>
      <c r="NVU21" s="60"/>
      <c r="NVY21" s="60"/>
      <c r="NWC21" s="60"/>
      <c r="NWG21" s="60"/>
      <c r="NWK21" s="60"/>
      <c r="NWO21" s="60"/>
      <c r="NWS21" s="60"/>
      <c r="NWW21" s="60"/>
      <c r="NXA21" s="60"/>
      <c r="NXE21" s="60"/>
      <c r="NXI21" s="60"/>
      <c r="NXM21" s="60"/>
      <c r="NXQ21" s="60"/>
      <c r="NXU21" s="60"/>
      <c r="NXY21" s="60"/>
      <c r="NYC21" s="60"/>
      <c r="NYG21" s="60"/>
      <c r="NYK21" s="60"/>
      <c r="NYO21" s="60"/>
      <c r="NYS21" s="60"/>
      <c r="NYW21" s="60"/>
      <c r="NZA21" s="60"/>
      <c r="NZE21" s="60"/>
      <c r="NZI21" s="60"/>
      <c r="NZM21" s="60"/>
      <c r="NZQ21" s="60"/>
      <c r="NZU21" s="60"/>
      <c r="NZY21" s="60"/>
      <c r="OAC21" s="60"/>
      <c r="OAG21" s="60"/>
      <c r="OAK21" s="60"/>
      <c r="OAO21" s="60"/>
      <c r="OAS21" s="60"/>
      <c r="OAW21" s="60"/>
      <c r="OBA21" s="60"/>
      <c r="OBE21" s="60"/>
      <c r="OBI21" s="60"/>
      <c r="OBM21" s="60"/>
      <c r="OBQ21" s="60"/>
      <c r="OBU21" s="60"/>
      <c r="OBY21" s="60"/>
      <c r="OCC21" s="60"/>
      <c r="OCG21" s="60"/>
      <c r="OCK21" s="60"/>
      <c r="OCO21" s="60"/>
      <c r="OCS21" s="60"/>
      <c r="OCW21" s="60"/>
      <c r="ODA21" s="60"/>
      <c r="ODE21" s="60"/>
      <c r="ODI21" s="60"/>
      <c r="ODM21" s="60"/>
      <c r="ODQ21" s="60"/>
      <c r="ODU21" s="60"/>
      <c r="ODY21" s="60"/>
      <c r="OEC21" s="60"/>
      <c r="OEG21" s="60"/>
      <c r="OEK21" s="60"/>
      <c r="OEO21" s="60"/>
      <c r="OES21" s="60"/>
      <c r="OEW21" s="60"/>
      <c r="OFA21" s="60"/>
      <c r="OFE21" s="60"/>
      <c r="OFI21" s="60"/>
      <c r="OFM21" s="60"/>
      <c r="OFQ21" s="60"/>
      <c r="OFU21" s="60"/>
      <c r="OFY21" s="60"/>
      <c r="OGC21" s="60"/>
      <c r="OGG21" s="60"/>
      <c r="OGK21" s="60"/>
      <c r="OGO21" s="60"/>
      <c r="OGS21" s="60"/>
      <c r="OGW21" s="60"/>
      <c r="OHA21" s="60"/>
      <c r="OHE21" s="60"/>
      <c r="OHI21" s="60"/>
      <c r="OHM21" s="60"/>
      <c r="OHQ21" s="60"/>
      <c r="OHU21" s="60"/>
      <c r="OHY21" s="60"/>
      <c r="OIC21" s="60"/>
      <c r="OIG21" s="60"/>
      <c r="OIK21" s="60"/>
      <c r="OIO21" s="60"/>
      <c r="OIS21" s="60"/>
      <c r="OIW21" s="60"/>
      <c r="OJA21" s="60"/>
      <c r="OJE21" s="60"/>
      <c r="OJI21" s="60"/>
      <c r="OJM21" s="60"/>
      <c r="OJQ21" s="60"/>
      <c r="OJU21" s="60"/>
      <c r="OJY21" s="60"/>
      <c r="OKC21" s="60"/>
      <c r="OKG21" s="60"/>
      <c r="OKK21" s="60"/>
      <c r="OKO21" s="60"/>
      <c r="OKS21" s="60"/>
      <c r="OKW21" s="60"/>
      <c r="OLA21" s="60"/>
      <c r="OLE21" s="60"/>
      <c r="OLI21" s="60"/>
      <c r="OLM21" s="60"/>
      <c r="OLQ21" s="60"/>
      <c r="OLU21" s="60"/>
      <c r="OLY21" s="60"/>
      <c r="OMC21" s="60"/>
      <c r="OMG21" s="60"/>
      <c r="OMK21" s="60"/>
      <c r="OMO21" s="60"/>
      <c r="OMS21" s="60"/>
      <c r="OMW21" s="60"/>
      <c r="ONA21" s="60"/>
      <c r="ONE21" s="60"/>
      <c r="ONI21" s="60"/>
      <c r="ONM21" s="60"/>
      <c r="ONQ21" s="60"/>
      <c r="ONU21" s="60"/>
      <c r="ONY21" s="60"/>
      <c r="OOC21" s="60"/>
      <c r="OOG21" s="60"/>
      <c r="OOK21" s="60"/>
      <c r="OOO21" s="60"/>
      <c r="OOS21" s="60"/>
      <c r="OOW21" s="60"/>
      <c r="OPA21" s="60"/>
      <c r="OPE21" s="60"/>
      <c r="OPI21" s="60"/>
      <c r="OPM21" s="60"/>
      <c r="OPQ21" s="60"/>
      <c r="OPU21" s="60"/>
      <c r="OPY21" s="60"/>
      <c r="OQC21" s="60"/>
      <c r="OQG21" s="60"/>
      <c r="OQK21" s="60"/>
      <c r="OQO21" s="60"/>
      <c r="OQS21" s="60"/>
      <c r="OQW21" s="60"/>
      <c r="ORA21" s="60"/>
      <c r="ORE21" s="60"/>
      <c r="ORI21" s="60"/>
      <c r="ORM21" s="60"/>
      <c r="ORQ21" s="60"/>
      <c r="ORU21" s="60"/>
      <c r="ORY21" s="60"/>
      <c r="OSC21" s="60"/>
      <c r="OSG21" s="60"/>
      <c r="OSK21" s="60"/>
      <c r="OSO21" s="60"/>
      <c r="OSS21" s="60"/>
      <c r="OSW21" s="60"/>
      <c r="OTA21" s="60"/>
      <c r="OTE21" s="60"/>
      <c r="OTI21" s="60"/>
      <c r="OTM21" s="60"/>
      <c r="OTQ21" s="60"/>
      <c r="OTU21" s="60"/>
      <c r="OTY21" s="60"/>
      <c r="OUC21" s="60"/>
      <c r="OUG21" s="60"/>
      <c r="OUK21" s="60"/>
      <c r="OUO21" s="60"/>
      <c r="OUS21" s="60"/>
      <c r="OUW21" s="60"/>
      <c r="OVA21" s="60"/>
      <c r="OVE21" s="60"/>
      <c r="OVI21" s="60"/>
      <c r="OVM21" s="60"/>
      <c r="OVQ21" s="60"/>
      <c r="OVU21" s="60"/>
      <c r="OVY21" s="60"/>
      <c r="OWC21" s="60"/>
      <c r="OWG21" s="60"/>
      <c r="OWK21" s="60"/>
      <c r="OWO21" s="60"/>
      <c r="OWS21" s="60"/>
      <c r="OWW21" s="60"/>
      <c r="OXA21" s="60"/>
      <c r="OXE21" s="60"/>
      <c r="OXI21" s="60"/>
      <c r="OXM21" s="60"/>
      <c r="OXQ21" s="60"/>
      <c r="OXU21" s="60"/>
      <c r="OXY21" s="60"/>
      <c r="OYC21" s="60"/>
      <c r="OYG21" s="60"/>
      <c r="OYK21" s="60"/>
      <c r="OYO21" s="60"/>
      <c r="OYS21" s="60"/>
      <c r="OYW21" s="60"/>
      <c r="OZA21" s="60"/>
      <c r="OZE21" s="60"/>
      <c r="OZI21" s="60"/>
      <c r="OZM21" s="60"/>
      <c r="OZQ21" s="60"/>
      <c r="OZU21" s="60"/>
      <c r="OZY21" s="60"/>
      <c r="PAC21" s="60"/>
      <c r="PAG21" s="60"/>
      <c r="PAK21" s="60"/>
      <c r="PAO21" s="60"/>
      <c r="PAS21" s="60"/>
      <c r="PAW21" s="60"/>
      <c r="PBA21" s="60"/>
      <c r="PBE21" s="60"/>
      <c r="PBI21" s="60"/>
      <c r="PBM21" s="60"/>
      <c r="PBQ21" s="60"/>
      <c r="PBU21" s="60"/>
      <c r="PBY21" s="60"/>
      <c r="PCC21" s="60"/>
      <c r="PCG21" s="60"/>
      <c r="PCK21" s="60"/>
      <c r="PCO21" s="60"/>
      <c r="PCS21" s="60"/>
      <c r="PCW21" s="60"/>
      <c r="PDA21" s="60"/>
      <c r="PDE21" s="60"/>
      <c r="PDI21" s="60"/>
      <c r="PDM21" s="60"/>
      <c r="PDQ21" s="60"/>
      <c r="PDU21" s="60"/>
      <c r="PDY21" s="60"/>
      <c r="PEC21" s="60"/>
      <c r="PEG21" s="60"/>
      <c r="PEK21" s="60"/>
      <c r="PEO21" s="60"/>
      <c r="PES21" s="60"/>
      <c r="PEW21" s="60"/>
      <c r="PFA21" s="60"/>
      <c r="PFE21" s="60"/>
      <c r="PFI21" s="60"/>
      <c r="PFM21" s="60"/>
      <c r="PFQ21" s="60"/>
      <c r="PFU21" s="60"/>
      <c r="PFY21" s="60"/>
      <c r="PGC21" s="60"/>
      <c r="PGG21" s="60"/>
      <c r="PGK21" s="60"/>
      <c r="PGO21" s="60"/>
      <c r="PGS21" s="60"/>
      <c r="PGW21" s="60"/>
      <c r="PHA21" s="60"/>
      <c r="PHE21" s="60"/>
      <c r="PHI21" s="60"/>
      <c r="PHM21" s="60"/>
      <c r="PHQ21" s="60"/>
      <c r="PHU21" s="60"/>
      <c r="PHY21" s="60"/>
      <c r="PIC21" s="60"/>
      <c r="PIG21" s="60"/>
      <c r="PIK21" s="60"/>
      <c r="PIO21" s="60"/>
      <c r="PIS21" s="60"/>
      <c r="PIW21" s="60"/>
      <c r="PJA21" s="60"/>
      <c r="PJE21" s="60"/>
      <c r="PJI21" s="60"/>
      <c r="PJM21" s="60"/>
      <c r="PJQ21" s="60"/>
      <c r="PJU21" s="60"/>
      <c r="PJY21" s="60"/>
      <c r="PKC21" s="60"/>
      <c r="PKG21" s="60"/>
      <c r="PKK21" s="60"/>
      <c r="PKO21" s="60"/>
      <c r="PKS21" s="60"/>
      <c r="PKW21" s="60"/>
      <c r="PLA21" s="60"/>
      <c r="PLE21" s="60"/>
      <c r="PLI21" s="60"/>
      <c r="PLM21" s="60"/>
      <c r="PLQ21" s="60"/>
      <c r="PLU21" s="60"/>
      <c r="PLY21" s="60"/>
      <c r="PMC21" s="60"/>
      <c r="PMG21" s="60"/>
      <c r="PMK21" s="60"/>
      <c r="PMO21" s="60"/>
      <c r="PMS21" s="60"/>
      <c r="PMW21" s="60"/>
      <c r="PNA21" s="60"/>
      <c r="PNE21" s="60"/>
      <c r="PNI21" s="60"/>
      <c r="PNM21" s="60"/>
      <c r="PNQ21" s="60"/>
      <c r="PNU21" s="60"/>
      <c r="PNY21" s="60"/>
      <c r="POC21" s="60"/>
      <c r="POG21" s="60"/>
      <c r="POK21" s="60"/>
      <c r="POO21" s="60"/>
      <c r="POS21" s="60"/>
      <c r="POW21" s="60"/>
      <c r="PPA21" s="60"/>
      <c r="PPE21" s="60"/>
      <c r="PPI21" s="60"/>
      <c r="PPM21" s="60"/>
      <c r="PPQ21" s="60"/>
      <c r="PPU21" s="60"/>
      <c r="PPY21" s="60"/>
      <c r="PQC21" s="60"/>
      <c r="PQG21" s="60"/>
      <c r="PQK21" s="60"/>
      <c r="PQO21" s="60"/>
      <c r="PQS21" s="60"/>
      <c r="PQW21" s="60"/>
      <c r="PRA21" s="60"/>
      <c r="PRE21" s="60"/>
      <c r="PRI21" s="60"/>
      <c r="PRM21" s="60"/>
      <c r="PRQ21" s="60"/>
      <c r="PRU21" s="60"/>
      <c r="PRY21" s="60"/>
      <c r="PSC21" s="60"/>
      <c r="PSG21" s="60"/>
      <c r="PSK21" s="60"/>
      <c r="PSO21" s="60"/>
      <c r="PSS21" s="60"/>
      <c r="PSW21" s="60"/>
      <c r="PTA21" s="60"/>
      <c r="PTE21" s="60"/>
      <c r="PTI21" s="60"/>
      <c r="PTM21" s="60"/>
      <c r="PTQ21" s="60"/>
      <c r="PTU21" s="60"/>
      <c r="PTY21" s="60"/>
      <c r="PUC21" s="60"/>
      <c r="PUG21" s="60"/>
      <c r="PUK21" s="60"/>
      <c r="PUO21" s="60"/>
      <c r="PUS21" s="60"/>
      <c r="PUW21" s="60"/>
      <c r="PVA21" s="60"/>
      <c r="PVE21" s="60"/>
      <c r="PVI21" s="60"/>
      <c r="PVM21" s="60"/>
      <c r="PVQ21" s="60"/>
      <c r="PVU21" s="60"/>
      <c r="PVY21" s="60"/>
      <c r="PWC21" s="60"/>
      <c r="PWG21" s="60"/>
      <c r="PWK21" s="60"/>
      <c r="PWO21" s="60"/>
      <c r="PWS21" s="60"/>
      <c r="PWW21" s="60"/>
      <c r="PXA21" s="60"/>
      <c r="PXE21" s="60"/>
      <c r="PXI21" s="60"/>
      <c r="PXM21" s="60"/>
      <c r="PXQ21" s="60"/>
      <c r="PXU21" s="60"/>
      <c r="PXY21" s="60"/>
      <c r="PYC21" s="60"/>
      <c r="PYG21" s="60"/>
      <c r="PYK21" s="60"/>
      <c r="PYO21" s="60"/>
      <c r="PYS21" s="60"/>
      <c r="PYW21" s="60"/>
      <c r="PZA21" s="60"/>
      <c r="PZE21" s="60"/>
      <c r="PZI21" s="60"/>
      <c r="PZM21" s="60"/>
      <c r="PZQ21" s="60"/>
      <c r="PZU21" s="60"/>
      <c r="PZY21" s="60"/>
      <c r="QAC21" s="60"/>
      <c r="QAG21" s="60"/>
      <c r="QAK21" s="60"/>
      <c r="QAO21" s="60"/>
      <c r="QAS21" s="60"/>
      <c r="QAW21" s="60"/>
      <c r="QBA21" s="60"/>
      <c r="QBE21" s="60"/>
      <c r="QBI21" s="60"/>
      <c r="QBM21" s="60"/>
      <c r="QBQ21" s="60"/>
      <c r="QBU21" s="60"/>
      <c r="QBY21" s="60"/>
      <c r="QCC21" s="60"/>
      <c r="QCG21" s="60"/>
      <c r="QCK21" s="60"/>
      <c r="QCO21" s="60"/>
      <c r="QCS21" s="60"/>
      <c r="QCW21" s="60"/>
      <c r="QDA21" s="60"/>
      <c r="QDE21" s="60"/>
      <c r="QDI21" s="60"/>
      <c r="QDM21" s="60"/>
      <c r="QDQ21" s="60"/>
      <c r="QDU21" s="60"/>
      <c r="QDY21" s="60"/>
      <c r="QEC21" s="60"/>
      <c r="QEG21" s="60"/>
      <c r="QEK21" s="60"/>
      <c r="QEO21" s="60"/>
      <c r="QES21" s="60"/>
      <c r="QEW21" s="60"/>
      <c r="QFA21" s="60"/>
      <c r="QFE21" s="60"/>
      <c r="QFI21" s="60"/>
      <c r="QFM21" s="60"/>
      <c r="QFQ21" s="60"/>
      <c r="QFU21" s="60"/>
      <c r="QFY21" s="60"/>
      <c r="QGC21" s="60"/>
      <c r="QGG21" s="60"/>
      <c r="QGK21" s="60"/>
      <c r="QGO21" s="60"/>
      <c r="QGS21" s="60"/>
      <c r="QGW21" s="60"/>
      <c r="QHA21" s="60"/>
      <c r="QHE21" s="60"/>
      <c r="QHI21" s="60"/>
      <c r="QHM21" s="60"/>
      <c r="QHQ21" s="60"/>
      <c r="QHU21" s="60"/>
      <c r="QHY21" s="60"/>
      <c r="QIC21" s="60"/>
      <c r="QIG21" s="60"/>
      <c r="QIK21" s="60"/>
      <c r="QIO21" s="60"/>
      <c r="QIS21" s="60"/>
      <c r="QIW21" s="60"/>
      <c r="QJA21" s="60"/>
      <c r="QJE21" s="60"/>
      <c r="QJI21" s="60"/>
      <c r="QJM21" s="60"/>
      <c r="QJQ21" s="60"/>
      <c r="QJU21" s="60"/>
      <c r="QJY21" s="60"/>
      <c r="QKC21" s="60"/>
      <c r="QKG21" s="60"/>
      <c r="QKK21" s="60"/>
      <c r="QKO21" s="60"/>
      <c r="QKS21" s="60"/>
      <c r="QKW21" s="60"/>
      <c r="QLA21" s="60"/>
      <c r="QLE21" s="60"/>
      <c r="QLI21" s="60"/>
      <c r="QLM21" s="60"/>
      <c r="QLQ21" s="60"/>
      <c r="QLU21" s="60"/>
      <c r="QLY21" s="60"/>
      <c r="QMC21" s="60"/>
      <c r="QMG21" s="60"/>
      <c r="QMK21" s="60"/>
      <c r="QMO21" s="60"/>
      <c r="QMS21" s="60"/>
      <c r="QMW21" s="60"/>
      <c r="QNA21" s="60"/>
      <c r="QNE21" s="60"/>
      <c r="QNI21" s="60"/>
      <c r="QNM21" s="60"/>
      <c r="QNQ21" s="60"/>
      <c r="QNU21" s="60"/>
      <c r="QNY21" s="60"/>
      <c r="QOC21" s="60"/>
      <c r="QOG21" s="60"/>
      <c r="QOK21" s="60"/>
      <c r="QOO21" s="60"/>
      <c r="QOS21" s="60"/>
      <c r="QOW21" s="60"/>
      <c r="QPA21" s="60"/>
      <c r="QPE21" s="60"/>
      <c r="QPI21" s="60"/>
      <c r="QPM21" s="60"/>
      <c r="QPQ21" s="60"/>
      <c r="QPU21" s="60"/>
      <c r="QPY21" s="60"/>
      <c r="QQC21" s="60"/>
      <c r="QQG21" s="60"/>
      <c r="QQK21" s="60"/>
      <c r="QQO21" s="60"/>
      <c r="QQS21" s="60"/>
      <c r="QQW21" s="60"/>
      <c r="QRA21" s="60"/>
      <c r="QRE21" s="60"/>
      <c r="QRI21" s="60"/>
      <c r="QRM21" s="60"/>
      <c r="QRQ21" s="60"/>
      <c r="QRU21" s="60"/>
      <c r="QRY21" s="60"/>
      <c r="QSC21" s="60"/>
      <c r="QSG21" s="60"/>
      <c r="QSK21" s="60"/>
      <c r="QSO21" s="60"/>
      <c r="QSS21" s="60"/>
      <c r="QSW21" s="60"/>
      <c r="QTA21" s="60"/>
      <c r="QTE21" s="60"/>
      <c r="QTI21" s="60"/>
      <c r="QTM21" s="60"/>
      <c r="QTQ21" s="60"/>
      <c r="QTU21" s="60"/>
      <c r="QTY21" s="60"/>
      <c r="QUC21" s="60"/>
      <c r="QUG21" s="60"/>
      <c r="QUK21" s="60"/>
      <c r="QUO21" s="60"/>
      <c r="QUS21" s="60"/>
      <c r="QUW21" s="60"/>
      <c r="QVA21" s="60"/>
      <c r="QVE21" s="60"/>
      <c r="QVI21" s="60"/>
      <c r="QVM21" s="60"/>
      <c r="QVQ21" s="60"/>
      <c r="QVU21" s="60"/>
      <c r="QVY21" s="60"/>
      <c r="QWC21" s="60"/>
      <c r="QWG21" s="60"/>
      <c r="QWK21" s="60"/>
      <c r="QWO21" s="60"/>
      <c r="QWS21" s="60"/>
      <c r="QWW21" s="60"/>
      <c r="QXA21" s="60"/>
      <c r="QXE21" s="60"/>
      <c r="QXI21" s="60"/>
      <c r="QXM21" s="60"/>
      <c r="QXQ21" s="60"/>
      <c r="QXU21" s="60"/>
      <c r="QXY21" s="60"/>
      <c r="QYC21" s="60"/>
      <c r="QYG21" s="60"/>
      <c r="QYK21" s="60"/>
      <c r="QYO21" s="60"/>
      <c r="QYS21" s="60"/>
      <c r="QYW21" s="60"/>
      <c r="QZA21" s="60"/>
      <c r="QZE21" s="60"/>
      <c r="QZI21" s="60"/>
      <c r="QZM21" s="60"/>
      <c r="QZQ21" s="60"/>
      <c r="QZU21" s="60"/>
      <c r="QZY21" s="60"/>
      <c r="RAC21" s="60"/>
      <c r="RAG21" s="60"/>
      <c r="RAK21" s="60"/>
      <c r="RAO21" s="60"/>
      <c r="RAS21" s="60"/>
      <c r="RAW21" s="60"/>
      <c r="RBA21" s="60"/>
      <c r="RBE21" s="60"/>
      <c r="RBI21" s="60"/>
      <c r="RBM21" s="60"/>
      <c r="RBQ21" s="60"/>
      <c r="RBU21" s="60"/>
      <c r="RBY21" s="60"/>
      <c r="RCC21" s="60"/>
      <c r="RCG21" s="60"/>
      <c r="RCK21" s="60"/>
      <c r="RCO21" s="60"/>
      <c r="RCS21" s="60"/>
      <c r="RCW21" s="60"/>
      <c r="RDA21" s="60"/>
      <c r="RDE21" s="60"/>
      <c r="RDI21" s="60"/>
      <c r="RDM21" s="60"/>
      <c r="RDQ21" s="60"/>
      <c r="RDU21" s="60"/>
      <c r="RDY21" s="60"/>
      <c r="REC21" s="60"/>
      <c r="REG21" s="60"/>
      <c r="REK21" s="60"/>
      <c r="REO21" s="60"/>
      <c r="RES21" s="60"/>
      <c r="REW21" s="60"/>
      <c r="RFA21" s="60"/>
      <c r="RFE21" s="60"/>
      <c r="RFI21" s="60"/>
      <c r="RFM21" s="60"/>
      <c r="RFQ21" s="60"/>
      <c r="RFU21" s="60"/>
      <c r="RFY21" s="60"/>
      <c r="RGC21" s="60"/>
      <c r="RGG21" s="60"/>
      <c r="RGK21" s="60"/>
      <c r="RGO21" s="60"/>
      <c r="RGS21" s="60"/>
      <c r="RGW21" s="60"/>
      <c r="RHA21" s="60"/>
      <c r="RHE21" s="60"/>
      <c r="RHI21" s="60"/>
      <c r="RHM21" s="60"/>
      <c r="RHQ21" s="60"/>
      <c r="RHU21" s="60"/>
      <c r="RHY21" s="60"/>
      <c r="RIC21" s="60"/>
      <c r="RIG21" s="60"/>
      <c r="RIK21" s="60"/>
      <c r="RIO21" s="60"/>
      <c r="RIS21" s="60"/>
      <c r="RIW21" s="60"/>
      <c r="RJA21" s="60"/>
      <c r="RJE21" s="60"/>
      <c r="RJI21" s="60"/>
      <c r="RJM21" s="60"/>
      <c r="RJQ21" s="60"/>
      <c r="RJU21" s="60"/>
      <c r="RJY21" s="60"/>
      <c r="RKC21" s="60"/>
      <c r="RKG21" s="60"/>
      <c r="RKK21" s="60"/>
      <c r="RKO21" s="60"/>
      <c r="RKS21" s="60"/>
      <c r="RKW21" s="60"/>
      <c r="RLA21" s="60"/>
      <c r="RLE21" s="60"/>
      <c r="RLI21" s="60"/>
      <c r="RLM21" s="60"/>
      <c r="RLQ21" s="60"/>
      <c r="RLU21" s="60"/>
      <c r="RLY21" s="60"/>
      <c r="RMC21" s="60"/>
      <c r="RMG21" s="60"/>
      <c r="RMK21" s="60"/>
      <c r="RMO21" s="60"/>
      <c r="RMS21" s="60"/>
      <c r="RMW21" s="60"/>
      <c r="RNA21" s="60"/>
      <c r="RNE21" s="60"/>
      <c r="RNI21" s="60"/>
      <c r="RNM21" s="60"/>
      <c r="RNQ21" s="60"/>
      <c r="RNU21" s="60"/>
      <c r="RNY21" s="60"/>
      <c r="ROC21" s="60"/>
      <c r="ROG21" s="60"/>
      <c r="ROK21" s="60"/>
      <c r="ROO21" s="60"/>
      <c r="ROS21" s="60"/>
      <c r="ROW21" s="60"/>
      <c r="RPA21" s="60"/>
      <c r="RPE21" s="60"/>
      <c r="RPI21" s="60"/>
      <c r="RPM21" s="60"/>
      <c r="RPQ21" s="60"/>
      <c r="RPU21" s="60"/>
      <c r="RPY21" s="60"/>
      <c r="RQC21" s="60"/>
      <c r="RQG21" s="60"/>
      <c r="RQK21" s="60"/>
      <c r="RQO21" s="60"/>
      <c r="RQS21" s="60"/>
      <c r="RQW21" s="60"/>
      <c r="RRA21" s="60"/>
      <c r="RRE21" s="60"/>
      <c r="RRI21" s="60"/>
      <c r="RRM21" s="60"/>
      <c r="RRQ21" s="60"/>
      <c r="RRU21" s="60"/>
      <c r="RRY21" s="60"/>
      <c r="RSC21" s="60"/>
      <c r="RSG21" s="60"/>
      <c r="RSK21" s="60"/>
      <c r="RSO21" s="60"/>
      <c r="RSS21" s="60"/>
      <c r="RSW21" s="60"/>
      <c r="RTA21" s="60"/>
      <c r="RTE21" s="60"/>
      <c r="RTI21" s="60"/>
      <c r="RTM21" s="60"/>
      <c r="RTQ21" s="60"/>
      <c r="RTU21" s="60"/>
      <c r="RTY21" s="60"/>
      <c r="RUC21" s="60"/>
      <c r="RUG21" s="60"/>
      <c r="RUK21" s="60"/>
      <c r="RUO21" s="60"/>
      <c r="RUS21" s="60"/>
      <c r="RUW21" s="60"/>
      <c r="RVA21" s="60"/>
      <c r="RVE21" s="60"/>
      <c r="RVI21" s="60"/>
      <c r="RVM21" s="60"/>
      <c r="RVQ21" s="60"/>
      <c r="RVU21" s="60"/>
      <c r="RVY21" s="60"/>
      <c r="RWC21" s="60"/>
      <c r="RWG21" s="60"/>
      <c r="RWK21" s="60"/>
      <c r="RWO21" s="60"/>
      <c r="RWS21" s="60"/>
      <c r="RWW21" s="60"/>
      <c r="RXA21" s="60"/>
      <c r="RXE21" s="60"/>
      <c r="RXI21" s="60"/>
      <c r="RXM21" s="60"/>
      <c r="RXQ21" s="60"/>
      <c r="RXU21" s="60"/>
      <c r="RXY21" s="60"/>
      <c r="RYC21" s="60"/>
      <c r="RYG21" s="60"/>
      <c r="RYK21" s="60"/>
      <c r="RYO21" s="60"/>
      <c r="RYS21" s="60"/>
      <c r="RYW21" s="60"/>
      <c r="RZA21" s="60"/>
      <c r="RZE21" s="60"/>
      <c r="RZI21" s="60"/>
      <c r="RZM21" s="60"/>
      <c r="RZQ21" s="60"/>
      <c r="RZU21" s="60"/>
      <c r="RZY21" s="60"/>
      <c r="SAC21" s="60"/>
      <c r="SAG21" s="60"/>
      <c r="SAK21" s="60"/>
      <c r="SAO21" s="60"/>
      <c r="SAS21" s="60"/>
      <c r="SAW21" s="60"/>
      <c r="SBA21" s="60"/>
      <c r="SBE21" s="60"/>
      <c r="SBI21" s="60"/>
      <c r="SBM21" s="60"/>
      <c r="SBQ21" s="60"/>
      <c r="SBU21" s="60"/>
      <c r="SBY21" s="60"/>
      <c r="SCC21" s="60"/>
      <c r="SCG21" s="60"/>
      <c r="SCK21" s="60"/>
      <c r="SCO21" s="60"/>
      <c r="SCS21" s="60"/>
      <c r="SCW21" s="60"/>
      <c r="SDA21" s="60"/>
      <c r="SDE21" s="60"/>
      <c r="SDI21" s="60"/>
      <c r="SDM21" s="60"/>
      <c r="SDQ21" s="60"/>
      <c r="SDU21" s="60"/>
      <c r="SDY21" s="60"/>
      <c r="SEC21" s="60"/>
      <c r="SEG21" s="60"/>
      <c r="SEK21" s="60"/>
      <c r="SEO21" s="60"/>
      <c r="SES21" s="60"/>
      <c r="SEW21" s="60"/>
      <c r="SFA21" s="60"/>
      <c r="SFE21" s="60"/>
      <c r="SFI21" s="60"/>
      <c r="SFM21" s="60"/>
      <c r="SFQ21" s="60"/>
      <c r="SFU21" s="60"/>
      <c r="SFY21" s="60"/>
      <c r="SGC21" s="60"/>
      <c r="SGG21" s="60"/>
      <c r="SGK21" s="60"/>
      <c r="SGO21" s="60"/>
      <c r="SGS21" s="60"/>
      <c r="SGW21" s="60"/>
      <c r="SHA21" s="60"/>
      <c r="SHE21" s="60"/>
      <c r="SHI21" s="60"/>
      <c r="SHM21" s="60"/>
      <c r="SHQ21" s="60"/>
      <c r="SHU21" s="60"/>
      <c r="SHY21" s="60"/>
      <c r="SIC21" s="60"/>
      <c r="SIG21" s="60"/>
      <c r="SIK21" s="60"/>
      <c r="SIO21" s="60"/>
      <c r="SIS21" s="60"/>
      <c r="SIW21" s="60"/>
      <c r="SJA21" s="60"/>
      <c r="SJE21" s="60"/>
      <c r="SJI21" s="60"/>
      <c r="SJM21" s="60"/>
      <c r="SJQ21" s="60"/>
      <c r="SJU21" s="60"/>
      <c r="SJY21" s="60"/>
      <c r="SKC21" s="60"/>
      <c r="SKG21" s="60"/>
      <c r="SKK21" s="60"/>
      <c r="SKO21" s="60"/>
      <c r="SKS21" s="60"/>
      <c r="SKW21" s="60"/>
      <c r="SLA21" s="60"/>
      <c r="SLE21" s="60"/>
      <c r="SLI21" s="60"/>
      <c r="SLM21" s="60"/>
      <c r="SLQ21" s="60"/>
      <c r="SLU21" s="60"/>
      <c r="SLY21" s="60"/>
      <c r="SMC21" s="60"/>
      <c r="SMG21" s="60"/>
      <c r="SMK21" s="60"/>
      <c r="SMO21" s="60"/>
      <c r="SMS21" s="60"/>
      <c r="SMW21" s="60"/>
      <c r="SNA21" s="60"/>
      <c r="SNE21" s="60"/>
      <c r="SNI21" s="60"/>
      <c r="SNM21" s="60"/>
      <c r="SNQ21" s="60"/>
      <c r="SNU21" s="60"/>
      <c r="SNY21" s="60"/>
      <c r="SOC21" s="60"/>
      <c r="SOG21" s="60"/>
      <c r="SOK21" s="60"/>
      <c r="SOO21" s="60"/>
      <c r="SOS21" s="60"/>
      <c r="SOW21" s="60"/>
      <c r="SPA21" s="60"/>
      <c r="SPE21" s="60"/>
      <c r="SPI21" s="60"/>
      <c r="SPM21" s="60"/>
      <c r="SPQ21" s="60"/>
      <c r="SPU21" s="60"/>
      <c r="SPY21" s="60"/>
      <c r="SQC21" s="60"/>
      <c r="SQG21" s="60"/>
      <c r="SQK21" s="60"/>
      <c r="SQO21" s="60"/>
      <c r="SQS21" s="60"/>
      <c r="SQW21" s="60"/>
      <c r="SRA21" s="60"/>
      <c r="SRE21" s="60"/>
      <c r="SRI21" s="60"/>
      <c r="SRM21" s="60"/>
      <c r="SRQ21" s="60"/>
      <c r="SRU21" s="60"/>
      <c r="SRY21" s="60"/>
      <c r="SSC21" s="60"/>
      <c r="SSG21" s="60"/>
      <c r="SSK21" s="60"/>
      <c r="SSO21" s="60"/>
      <c r="SSS21" s="60"/>
      <c r="SSW21" s="60"/>
      <c r="STA21" s="60"/>
      <c r="STE21" s="60"/>
      <c r="STI21" s="60"/>
      <c r="STM21" s="60"/>
      <c r="STQ21" s="60"/>
      <c r="STU21" s="60"/>
      <c r="STY21" s="60"/>
      <c r="SUC21" s="60"/>
      <c r="SUG21" s="60"/>
      <c r="SUK21" s="60"/>
      <c r="SUO21" s="60"/>
      <c r="SUS21" s="60"/>
      <c r="SUW21" s="60"/>
      <c r="SVA21" s="60"/>
      <c r="SVE21" s="60"/>
      <c r="SVI21" s="60"/>
      <c r="SVM21" s="60"/>
      <c r="SVQ21" s="60"/>
      <c r="SVU21" s="60"/>
      <c r="SVY21" s="60"/>
      <c r="SWC21" s="60"/>
      <c r="SWG21" s="60"/>
      <c r="SWK21" s="60"/>
      <c r="SWO21" s="60"/>
      <c r="SWS21" s="60"/>
      <c r="SWW21" s="60"/>
      <c r="SXA21" s="60"/>
      <c r="SXE21" s="60"/>
      <c r="SXI21" s="60"/>
      <c r="SXM21" s="60"/>
      <c r="SXQ21" s="60"/>
      <c r="SXU21" s="60"/>
      <c r="SXY21" s="60"/>
      <c r="SYC21" s="60"/>
      <c r="SYG21" s="60"/>
      <c r="SYK21" s="60"/>
      <c r="SYO21" s="60"/>
      <c r="SYS21" s="60"/>
      <c r="SYW21" s="60"/>
      <c r="SZA21" s="60"/>
      <c r="SZE21" s="60"/>
      <c r="SZI21" s="60"/>
      <c r="SZM21" s="60"/>
      <c r="SZQ21" s="60"/>
      <c r="SZU21" s="60"/>
      <c r="SZY21" s="60"/>
      <c r="TAC21" s="60"/>
      <c r="TAG21" s="60"/>
      <c r="TAK21" s="60"/>
      <c r="TAO21" s="60"/>
      <c r="TAS21" s="60"/>
      <c r="TAW21" s="60"/>
      <c r="TBA21" s="60"/>
      <c r="TBE21" s="60"/>
      <c r="TBI21" s="60"/>
      <c r="TBM21" s="60"/>
      <c r="TBQ21" s="60"/>
      <c r="TBU21" s="60"/>
      <c r="TBY21" s="60"/>
      <c r="TCC21" s="60"/>
      <c r="TCG21" s="60"/>
      <c r="TCK21" s="60"/>
      <c r="TCO21" s="60"/>
      <c r="TCS21" s="60"/>
      <c r="TCW21" s="60"/>
      <c r="TDA21" s="60"/>
      <c r="TDE21" s="60"/>
      <c r="TDI21" s="60"/>
      <c r="TDM21" s="60"/>
      <c r="TDQ21" s="60"/>
      <c r="TDU21" s="60"/>
      <c r="TDY21" s="60"/>
      <c r="TEC21" s="60"/>
      <c r="TEG21" s="60"/>
      <c r="TEK21" s="60"/>
      <c r="TEO21" s="60"/>
      <c r="TES21" s="60"/>
      <c r="TEW21" s="60"/>
      <c r="TFA21" s="60"/>
      <c r="TFE21" s="60"/>
      <c r="TFI21" s="60"/>
      <c r="TFM21" s="60"/>
      <c r="TFQ21" s="60"/>
      <c r="TFU21" s="60"/>
      <c r="TFY21" s="60"/>
      <c r="TGC21" s="60"/>
      <c r="TGG21" s="60"/>
      <c r="TGK21" s="60"/>
      <c r="TGO21" s="60"/>
      <c r="TGS21" s="60"/>
      <c r="TGW21" s="60"/>
      <c r="THA21" s="60"/>
      <c r="THE21" s="60"/>
      <c r="THI21" s="60"/>
      <c r="THM21" s="60"/>
      <c r="THQ21" s="60"/>
      <c r="THU21" s="60"/>
      <c r="THY21" s="60"/>
      <c r="TIC21" s="60"/>
      <c r="TIG21" s="60"/>
      <c r="TIK21" s="60"/>
      <c r="TIO21" s="60"/>
      <c r="TIS21" s="60"/>
      <c r="TIW21" s="60"/>
      <c r="TJA21" s="60"/>
      <c r="TJE21" s="60"/>
      <c r="TJI21" s="60"/>
      <c r="TJM21" s="60"/>
      <c r="TJQ21" s="60"/>
      <c r="TJU21" s="60"/>
      <c r="TJY21" s="60"/>
      <c r="TKC21" s="60"/>
      <c r="TKG21" s="60"/>
      <c r="TKK21" s="60"/>
      <c r="TKO21" s="60"/>
      <c r="TKS21" s="60"/>
      <c r="TKW21" s="60"/>
      <c r="TLA21" s="60"/>
      <c r="TLE21" s="60"/>
      <c r="TLI21" s="60"/>
      <c r="TLM21" s="60"/>
      <c r="TLQ21" s="60"/>
      <c r="TLU21" s="60"/>
      <c r="TLY21" s="60"/>
      <c r="TMC21" s="60"/>
      <c r="TMG21" s="60"/>
      <c r="TMK21" s="60"/>
      <c r="TMO21" s="60"/>
      <c r="TMS21" s="60"/>
      <c r="TMW21" s="60"/>
      <c r="TNA21" s="60"/>
      <c r="TNE21" s="60"/>
      <c r="TNI21" s="60"/>
      <c r="TNM21" s="60"/>
      <c r="TNQ21" s="60"/>
      <c r="TNU21" s="60"/>
      <c r="TNY21" s="60"/>
      <c r="TOC21" s="60"/>
      <c r="TOG21" s="60"/>
      <c r="TOK21" s="60"/>
      <c r="TOO21" s="60"/>
      <c r="TOS21" s="60"/>
      <c r="TOW21" s="60"/>
      <c r="TPA21" s="60"/>
      <c r="TPE21" s="60"/>
      <c r="TPI21" s="60"/>
      <c r="TPM21" s="60"/>
      <c r="TPQ21" s="60"/>
      <c r="TPU21" s="60"/>
      <c r="TPY21" s="60"/>
      <c r="TQC21" s="60"/>
      <c r="TQG21" s="60"/>
      <c r="TQK21" s="60"/>
      <c r="TQO21" s="60"/>
      <c r="TQS21" s="60"/>
      <c r="TQW21" s="60"/>
      <c r="TRA21" s="60"/>
      <c r="TRE21" s="60"/>
      <c r="TRI21" s="60"/>
      <c r="TRM21" s="60"/>
      <c r="TRQ21" s="60"/>
      <c r="TRU21" s="60"/>
      <c r="TRY21" s="60"/>
      <c r="TSC21" s="60"/>
      <c r="TSG21" s="60"/>
      <c r="TSK21" s="60"/>
      <c r="TSO21" s="60"/>
      <c r="TSS21" s="60"/>
      <c r="TSW21" s="60"/>
      <c r="TTA21" s="60"/>
      <c r="TTE21" s="60"/>
      <c r="TTI21" s="60"/>
      <c r="TTM21" s="60"/>
      <c r="TTQ21" s="60"/>
      <c r="TTU21" s="60"/>
      <c r="TTY21" s="60"/>
      <c r="TUC21" s="60"/>
      <c r="TUG21" s="60"/>
      <c r="TUK21" s="60"/>
      <c r="TUO21" s="60"/>
      <c r="TUS21" s="60"/>
      <c r="TUW21" s="60"/>
      <c r="TVA21" s="60"/>
      <c r="TVE21" s="60"/>
      <c r="TVI21" s="60"/>
      <c r="TVM21" s="60"/>
      <c r="TVQ21" s="60"/>
      <c r="TVU21" s="60"/>
      <c r="TVY21" s="60"/>
      <c r="TWC21" s="60"/>
      <c r="TWG21" s="60"/>
      <c r="TWK21" s="60"/>
      <c r="TWO21" s="60"/>
      <c r="TWS21" s="60"/>
      <c r="TWW21" s="60"/>
      <c r="TXA21" s="60"/>
      <c r="TXE21" s="60"/>
      <c r="TXI21" s="60"/>
      <c r="TXM21" s="60"/>
      <c r="TXQ21" s="60"/>
      <c r="TXU21" s="60"/>
      <c r="TXY21" s="60"/>
      <c r="TYC21" s="60"/>
      <c r="TYG21" s="60"/>
      <c r="TYK21" s="60"/>
      <c r="TYO21" s="60"/>
      <c r="TYS21" s="60"/>
      <c r="TYW21" s="60"/>
      <c r="TZA21" s="60"/>
      <c r="TZE21" s="60"/>
      <c r="TZI21" s="60"/>
      <c r="TZM21" s="60"/>
      <c r="TZQ21" s="60"/>
      <c r="TZU21" s="60"/>
      <c r="TZY21" s="60"/>
      <c r="UAC21" s="60"/>
      <c r="UAG21" s="60"/>
      <c r="UAK21" s="60"/>
      <c r="UAO21" s="60"/>
      <c r="UAS21" s="60"/>
      <c r="UAW21" s="60"/>
      <c r="UBA21" s="60"/>
      <c r="UBE21" s="60"/>
      <c r="UBI21" s="60"/>
      <c r="UBM21" s="60"/>
      <c r="UBQ21" s="60"/>
      <c r="UBU21" s="60"/>
      <c r="UBY21" s="60"/>
      <c r="UCC21" s="60"/>
      <c r="UCG21" s="60"/>
      <c r="UCK21" s="60"/>
      <c r="UCO21" s="60"/>
      <c r="UCS21" s="60"/>
      <c r="UCW21" s="60"/>
      <c r="UDA21" s="60"/>
      <c r="UDE21" s="60"/>
      <c r="UDI21" s="60"/>
      <c r="UDM21" s="60"/>
      <c r="UDQ21" s="60"/>
      <c r="UDU21" s="60"/>
      <c r="UDY21" s="60"/>
      <c r="UEC21" s="60"/>
      <c r="UEG21" s="60"/>
      <c r="UEK21" s="60"/>
      <c r="UEO21" s="60"/>
      <c r="UES21" s="60"/>
      <c r="UEW21" s="60"/>
      <c r="UFA21" s="60"/>
      <c r="UFE21" s="60"/>
      <c r="UFI21" s="60"/>
      <c r="UFM21" s="60"/>
      <c r="UFQ21" s="60"/>
      <c r="UFU21" s="60"/>
      <c r="UFY21" s="60"/>
      <c r="UGC21" s="60"/>
      <c r="UGG21" s="60"/>
      <c r="UGK21" s="60"/>
      <c r="UGO21" s="60"/>
      <c r="UGS21" s="60"/>
      <c r="UGW21" s="60"/>
      <c r="UHA21" s="60"/>
      <c r="UHE21" s="60"/>
      <c r="UHI21" s="60"/>
      <c r="UHM21" s="60"/>
      <c r="UHQ21" s="60"/>
      <c r="UHU21" s="60"/>
      <c r="UHY21" s="60"/>
      <c r="UIC21" s="60"/>
      <c r="UIG21" s="60"/>
      <c r="UIK21" s="60"/>
      <c r="UIO21" s="60"/>
      <c r="UIS21" s="60"/>
      <c r="UIW21" s="60"/>
      <c r="UJA21" s="60"/>
      <c r="UJE21" s="60"/>
      <c r="UJI21" s="60"/>
      <c r="UJM21" s="60"/>
      <c r="UJQ21" s="60"/>
      <c r="UJU21" s="60"/>
      <c r="UJY21" s="60"/>
      <c r="UKC21" s="60"/>
      <c r="UKG21" s="60"/>
      <c r="UKK21" s="60"/>
      <c r="UKO21" s="60"/>
      <c r="UKS21" s="60"/>
      <c r="UKW21" s="60"/>
      <c r="ULA21" s="60"/>
      <c r="ULE21" s="60"/>
      <c r="ULI21" s="60"/>
      <c r="ULM21" s="60"/>
      <c r="ULQ21" s="60"/>
      <c r="ULU21" s="60"/>
      <c r="ULY21" s="60"/>
      <c r="UMC21" s="60"/>
      <c r="UMG21" s="60"/>
      <c r="UMK21" s="60"/>
      <c r="UMO21" s="60"/>
      <c r="UMS21" s="60"/>
      <c r="UMW21" s="60"/>
      <c r="UNA21" s="60"/>
      <c r="UNE21" s="60"/>
      <c r="UNI21" s="60"/>
      <c r="UNM21" s="60"/>
      <c r="UNQ21" s="60"/>
      <c r="UNU21" s="60"/>
      <c r="UNY21" s="60"/>
      <c r="UOC21" s="60"/>
      <c r="UOG21" s="60"/>
      <c r="UOK21" s="60"/>
      <c r="UOO21" s="60"/>
      <c r="UOS21" s="60"/>
      <c r="UOW21" s="60"/>
      <c r="UPA21" s="60"/>
      <c r="UPE21" s="60"/>
      <c r="UPI21" s="60"/>
      <c r="UPM21" s="60"/>
      <c r="UPQ21" s="60"/>
      <c r="UPU21" s="60"/>
      <c r="UPY21" s="60"/>
      <c r="UQC21" s="60"/>
      <c r="UQG21" s="60"/>
      <c r="UQK21" s="60"/>
      <c r="UQO21" s="60"/>
      <c r="UQS21" s="60"/>
      <c r="UQW21" s="60"/>
      <c r="URA21" s="60"/>
      <c r="URE21" s="60"/>
      <c r="URI21" s="60"/>
      <c r="URM21" s="60"/>
      <c r="URQ21" s="60"/>
      <c r="URU21" s="60"/>
      <c r="URY21" s="60"/>
      <c r="USC21" s="60"/>
      <c r="USG21" s="60"/>
      <c r="USK21" s="60"/>
      <c r="USO21" s="60"/>
      <c r="USS21" s="60"/>
      <c r="USW21" s="60"/>
      <c r="UTA21" s="60"/>
      <c r="UTE21" s="60"/>
      <c r="UTI21" s="60"/>
      <c r="UTM21" s="60"/>
      <c r="UTQ21" s="60"/>
      <c r="UTU21" s="60"/>
      <c r="UTY21" s="60"/>
      <c r="UUC21" s="60"/>
      <c r="UUG21" s="60"/>
      <c r="UUK21" s="60"/>
      <c r="UUO21" s="60"/>
      <c r="UUS21" s="60"/>
      <c r="UUW21" s="60"/>
      <c r="UVA21" s="60"/>
      <c r="UVE21" s="60"/>
      <c r="UVI21" s="60"/>
      <c r="UVM21" s="60"/>
      <c r="UVQ21" s="60"/>
      <c r="UVU21" s="60"/>
      <c r="UVY21" s="60"/>
      <c r="UWC21" s="60"/>
      <c r="UWG21" s="60"/>
      <c r="UWK21" s="60"/>
      <c r="UWO21" s="60"/>
      <c r="UWS21" s="60"/>
      <c r="UWW21" s="60"/>
      <c r="UXA21" s="60"/>
      <c r="UXE21" s="60"/>
      <c r="UXI21" s="60"/>
      <c r="UXM21" s="60"/>
      <c r="UXQ21" s="60"/>
      <c r="UXU21" s="60"/>
      <c r="UXY21" s="60"/>
      <c r="UYC21" s="60"/>
      <c r="UYG21" s="60"/>
      <c r="UYK21" s="60"/>
      <c r="UYO21" s="60"/>
      <c r="UYS21" s="60"/>
      <c r="UYW21" s="60"/>
      <c r="UZA21" s="60"/>
      <c r="UZE21" s="60"/>
      <c r="UZI21" s="60"/>
      <c r="UZM21" s="60"/>
      <c r="UZQ21" s="60"/>
      <c r="UZU21" s="60"/>
      <c r="UZY21" s="60"/>
      <c r="VAC21" s="60"/>
      <c r="VAG21" s="60"/>
      <c r="VAK21" s="60"/>
      <c r="VAO21" s="60"/>
      <c r="VAS21" s="60"/>
      <c r="VAW21" s="60"/>
      <c r="VBA21" s="60"/>
      <c r="VBE21" s="60"/>
      <c r="VBI21" s="60"/>
      <c r="VBM21" s="60"/>
      <c r="VBQ21" s="60"/>
      <c r="VBU21" s="60"/>
      <c r="VBY21" s="60"/>
      <c r="VCC21" s="60"/>
      <c r="VCG21" s="60"/>
      <c r="VCK21" s="60"/>
      <c r="VCO21" s="60"/>
      <c r="VCS21" s="60"/>
      <c r="VCW21" s="60"/>
      <c r="VDA21" s="60"/>
      <c r="VDE21" s="60"/>
      <c r="VDI21" s="60"/>
      <c r="VDM21" s="60"/>
      <c r="VDQ21" s="60"/>
      <c r="VDU21" s="60"/>
      <c r="VDY21" s="60"/>
      <c r="VEC21" s="60"/>
      <c r="VEG21" s="60"/>
      <c r="VEK21" s="60"/>
      <c r="VEO21" s="60"/>
      <c r="VES21" s="60"/>
      <c r="VEW21" s="60"/>
      <c r="VFA21" s="60"/>
      <c r="VFE21" s="60"/>
      <c r="VFI21" s="60"/>
      <c r="VFM21" s="60"/>
      <c r="VFQ21" s="60"/>
      <c r="VFU21" s="60"/>
      <c r="VFY21" s="60"/>
      <c r="VGC21" s="60"/>
      <c r="VGG21" s="60"/>
      <c r="VGK21" s="60"/>
      <c r="VGO21" s="60"/>
      <c r="VGS21" s="60"/>
      <c r="VGW21" s="60"/>
      <c r="VHA21" s="60"/>
      <c r="VHE21" s="60"/>
      <c r="VHI21" s="60"/>
      <c r="VHM21" s="60"/>
      <c r="VHQ21" s="60"/>
      <c r="VHU21" s="60"/>
      <c r="VHY21" s="60"/>
      <c r="VIC21" s="60"/>
      <c r="VIG21" s="60"/>
      <c r="VIK21" s="60"/>
      <c r="VIO21" s="60"/>
      <c r="VIS21" s="60"/>
      <c r="VIW21" s="60"/>
      <c r="VJA21" s="60"/>
      <c r="VJE21" s="60"/>
      <c r="VJI21" s="60"/>
      <c r="VJM21" s="60"/>
      <c r="VJQ21" s="60"/>
      <c r="VJU21" s="60"/>
      <c r="VJY21" s="60"/>
      <c r="VKC21" s="60"/>
      <c r="VKG21" s="60"/>
      <c r="VKK21" s="60"/>
      <c r="VKO21" s="60"/>
      <c r="VKS21" s="60"/>
      <c r="VKW21" s="60"/>
      <c r="VLA21" s="60"/>
      <c r="VLE21" s="60"/>
      <c r="VLI21" s="60"/>
      <c r="VLM21" s="60"/>
      <c r="VLQ21" s="60"/>
      <c r="VLU21" s="60"/>
      <c r="VLY21" s="60"/>
      <c r="VMC21" s="60"/>
      <c r="VMG21" s="60"/>
      <c r="VMK21" s="60"/>
      <c r="VMO21" s="60"/>
      <c r="VMS21" s="60"/>
      <c r="VMW21" s="60"/>
      <c r="VNA21" s="60"/>
      <c r="VNE21" s="60"/>
      <c r="VNI21" s="60"/>
      <c r="VNM21" s="60"/>
      <c r="VNQ21" s="60"/>
      <c r="VNU21" s="60"/>
      <c r="VNY21" s="60"/>
      <c r="VOC21" s="60"/>
      <c r="VOG21" s="60"/>
      <c r="VOK21" s="60"/>
      <c r="VOO21" s="60"/>
      <c r="VOS21" s="60"/>
      <c r="VOW21" s="60"/>
      <c r="VPA21" s="60"/>
      <c r="VPE21" s="60"/>
      <c r="VPI21" s="60"/>
      <c r="VPM21" s="60"/>
      <c r="VPQ21" s="60"/>
      <c r="VPU21" s="60"/>
      <c r="VPY21" s="60"/>
      <c r="VQC21" s="60"/>
      <c r="VQG21" s="60"/>
      <c r="VQK21" s="60"/>
      <c r="VQO21" s="60"/>
      <c r="VQS21" s="60"/>
      <c r="VQW21" s="60"/>
      <c r="VRA21" s="60"/>
      <c r="VRE21" s="60"/>
      <c r="VRI21" s="60"/>
      <c r="VRM21" s="60"/>
      <c r="VRQ21" s="60"/>
      <c r="VRU21" s="60"/>
      <c r="VRY21" s="60"/>
      <c r="VSC21" s="60"/>
      <c r="VSG21" s="60"/>
      <c r="VSK21" s="60"/>
      <c r="VSO21" s="60"/>
      <c r="VSS21" s="60"/>
      <c r="VSW21" s="60"/>
      <c r="VTA21" s="60"/>
      <c r="VTE21" s="60"/>
      <c r="VTI21" s="60"/>
      <c r="VTM21" s="60"/>
      <c r="VTQ21" s="60"/>
      <c r="VTU21" s="60"/>
      <c r="VTY21" s="60"/>
      <c r="VUC21" s="60"/>
      <c r="VUG21" s="60"/>
      <c r="VUK21" s="60"/>
      <c r="VUO21" s="60"/>
      <c r="VUS21" s="60"/>
      <c r="VUW21" s="60"/>
      <c r="VVA21" s="60"/>
      <c r="VVE21" s="60"/>
      <c r="VVI21" s="60"/>
      <c r="VVM21" s="60"/>
      <c r="VVQ21" s="60"/>
      <c r="VVU21" s="60"/>
      <c r="VVY21" s="60"/>
      <c r="VWC21" s="60"/>
      <c r="VWG21" s="60"/>
      <c r="VWK21" s="60"/>
      <c r="VWO21" s="60"/>
      <c r="VWS21" s="60"/>
      <c r="VWW21" s="60"/>
      <c r="VXA21" s="60"/>
      <c r="VXE21" s="60"/>
      <c r="VXI21" s="60"/>
      <c r="VXM21" s="60"/>
      <c r="VXQ21" s="60"/>
      <c r="VXU21" s="60"/>
      <c r="VXY21" s="60"/>
      <c r="VYC21" s="60"/>
      <c r="VYG21" s="60"/>
      <c r="VYK21" s="60"/>
      <c r="VYO21" s="60"/>
      <c r="VYS21" s="60"/>
      <c r="VYW21" s="60"/>
      <c r="VZA21" s="60"/>
      <c r="VZE21" s="60"/>
      <c r="VZI21" s="60"/>
      <c r="VZM21" s="60"/>
      <c r="VZQ21" s="60"/>
      <c r="VZU21" s="60"/>
      <c r="VZY21" s="60"/>
      <c r="WAC21" s="60"/>
      <c r="WAG21" s="60"/>
      <c r="WAK21" s="60"/>
      <c r="WAO21" s="60"/>
      <c r="WAS21" s="60"/>
      <c r="WAW21" s="60"/>
      <c r="WBA21" s="60"/>
      <c r="WBE21" s="60"/>
      <c r="WBI21" s="60"/>
      <c r="WBM21" s="60"/>
      <c r="WBQ21" s="60"/>
      <c r="WBU21" s="60"/>
      <c r="WBY21" s="60"/>
      <c r="WCC21" s="60"/>
      <c r="WCG21" s="60"/>
      <c r="WCK21" s="60"/>
      <c r="WCO21" s="60"/>
      <c r="WCS21" s="60"/>
      <c r="WCW21" s="60"/>
      <c r="WDA21" s="60"/>
      <c r="WDE21" s="60"/>
      <c r="WDI21" s="60"/>
      <c r="WDM21" s="60"/>
      <c r="WDQ21" s="60"/>
      <c r="WDU21" s="60"/>
      <c r="WDY21" s="60"/>
      <c r="WEC21" s="60"/>
      <c r="WEG21" s="60"/>
      <c r="WEK21" s="60"/>
      <c r="WEO21" s="60"/>
      <c r="WES21" s="60"/>
      <c r="WEW21" s="60"/>
      <c r="WFA21" s="60"/>
      <c r="WFE21" s="60"/>
      <c r="WFI21" s="60"/>
      <c r="WFM21" s="60"/>
      <c r="WFQ21" s="60"/>
      <c r="WFU21" s="60"/>
      <c r="WFY21" s="60"/>
      <c r="WGC21" s="60"/>
      <c r="WGG21" s="60"/>
      <c r="WGK21" s="60"/>
      <c r="WGO21" s="60"/>
      <c r="WGS21" s="60"/>
      <c r="WGW21" s="60"/>
      <c r="WHA21" s="60"/>
      <c r="WHE21" s="60"/>
      <c r="WHI21" s="60"/>
      <c r="WHM21" s="60"/>
      <c r="WHQ21" s="60"/>
      <c r="WHU21" s="60"/>
      <c r="WHY21" s="60"/>
      <c r="WIC21" s="60"/>
      <c r="WIG21" s="60"/>
      <c r="WIK21" s="60"/>
      <c r="WIO21" s="60"/>
      <c r="WIS21" s="60"/>
      <c r="WIW21" s="60"/>
      <c r="WJA21" s="60"/>
      <c r="WJE21" s="60"/>
      <c r="WJI21" s="60"/>
      <c r="WJM21" s="60"/>
      <c r="WJQ21" s="60"/>
      <c r="WJU21" s="60"/>
      <c r="WJY21" s="60"/>
      <c r="WKC21" s="60"/>
      <c r="WKG21" s="60"/>
      <c r="WKK21" s="60"/>
      <c r="WKO21" s="60"/>
      <c r="WKS21" s="60"/>
      <c r="WKW21" s="60"/>
      <c r="WLA21" s="60"/>
      <c r="WLE21" s="60"/>
      <c r="WLI21" s="60"/>
      <c r="WLM21" s="60"/>
      <c r="WLQ21" s="60"/>
      <c r="WLU21" s="60"/>
      <c r="WLY21" s="60"/>
      <c r="WMC21" s="60"/>
      <c r="WMG21" s="60"/>
      <c r="WMK21" s="60"/>
      <c r="WMO21" s="60"/>
      <c r="WMS21" s="60"/>
      <c r="WMW21" s="60"/>
      <c r="WNA21" s="60"/>
      <c r="WNE21" s="60"/>
      <c r="WNI21" s="60"/>
      <c r="WNM21" s="60"/>
      <c r="WNQ21" s="60"/>
      <c r="WNU21" s="60"/>
      <c r="WNY21" s="60"/>
      <c r="WOC21" s="60"/>
      <c r="WOG21" s="60"/>
      <c r="WOK21" s="60"/>
      <c r="WOO21" s="60"/>
      <c r="WOS21" s="60"/>
      <c r="WOW21" s="60"/>
      <c r="WPA21" s="60"/>
      <c r="WPE21" s="60"/>
      <c r="WPI21" s="60"/>
      <c r="WPM21" s="60"/>
      <c r="WPQ21" s="60"/>
      <c r="WPU21" s="60"/>
      <c r="WPY21" s="60"/>
      <c r="WQC21" s="60"/>
      <c r="WQG21" s="60"/>
      <c r="WQK21" s="60"/>
      <c r="WQO21" s="60"/>
      <c r="WQS21" s="60"/>
      <c r="WQW21" s="60"/>
      <c r="WRA21" s="60"/>
      <c r="WRE21" s="60"/>
      <c r="WRI21" s="60"/>
      <c r="WRM21" s="60"/>
      <c r="WRQ21" s="60"/>
      <c r="WRU21" s="60"/>
      <c r="WRY21" s="60"/>
      <c r="WSC21" s="60"/>
      <c r="WSG21" s="60"/>
      <c r="WSK21" s="60"/>
      <c r="WSO21" s="60"/>
      <c r="WSS21" s="60"/>
      <c r="WSW21" s="60"/>
      <c r="WTA21" s="60"/>
      <c r="WTE21" s="60"/>
      <c r="WTI21" s="60"/>
      <c r="WTM21" s="60"/>
      <c r="WTQ21" s="60"/>
      <c r="WTU21" s="60"/>
      <c r="WTY21" s="60"/>
      <c r="WUC21" s="60"/>
      <c r="WUG21" s="60"/>
      <c r="WUK21" s="60"/>
      <c r="WUO21" s="60"/>
      <c r="WUS21" s="60"/>
      <c r="WUW21" s="60"/>
      <c r="WVA21" s="60"/>
      <c r="WVE21" s="60"/>
      <c r="WVI21" s="60"/>
      <c r="WVM21" s="60"/>
      <c r="WVQ21" s="60"/>
      <c r="WVU21" s="60"/>
      <c r="WVY21" s="60"/>
      <c r="WWC21" s="60"/>
      <c r="WWG21" s="60"/>
      <c r="WWK21" s="60"/>
      <c r="WWO21" s="60"/>
      <c r="WWS21" s="60"/>
      <c r="WWW21" s="60"/>
      <c r="WXA21" s="60"/>
      <c r="WXE21" s="60"/>
      <c r="WXI21" s="60"/>
      <c r="WXM21" s="60"/>
      <c r="WXQ21" s="60"/>
      <c r="WXU21" s="60"/>
      <c r="WXY21" s="60"/>
      <c r="WYC21" s="60"/>
      <c r="WYG21" s="60"/>
      <c r="WYK21" s="60"/>
      <c r="WYO21" s="60"/>
      <c r="WYS21" s="60"/>
      <c r="WYW21" s="60"/>
      <c r="WZA21" s="60"/>
      <c r="WZE21" s="60"/>
      <c r="WZI21" s="60"/>
      <c r="WZM21" s="60"/>
      <c r="WZQ21" s="60"/>
      <c r="WZU21" s="60"/>
      <c r="WZY21" s="60"/>
      <c r="XAC21" s="60"/>
      <c r="XAG21" s="60"/>
      <c r="XAK21" s="60"/>
      <c r="XAO21" s="60"/>
      <c r="XAS21" s="60"/>
      <c r="XAW21" s="60"/>
      <c r="XBA21" s="60"/>
      <c r="XBE21" s="60"/>
      <c r="XBI21" s="60"/>
      <c r="XBM21" s="60"/>
      <c r="XBQ21" s="60"/>
      <c r="XBU21" s="60"/>
      <c r="XBY21" s="60"/>
      <c r="XCC21" s="60"/>
      <c r="XCG21" s="60"/>
      <c r="XCK21" s="60"/>
      <c r="XCO21" s="60"/>
      <c r="XCS21" s="60"/>
      <c r="XCW21" s="60"/>
      <c r="XDA21" s="60"/>
      <c r="XDE21" s="60"/>
      <c r="XDI21" s="60"/>
      <c r="XDM21" s="60"/>
      <c r="XDQ21" s="60"/>
      <c r="XDU21" s="60"/>
      <c r="XDY21" s="60"/>
      <c r="XEC21" s="60"/>
      <c r="XEG21" s="60"/>
      <c r="XEK21" s="60"/>
      <c r="XEO21" s="60"/>
      <c r="XES21" s="60"/>
      <c r="XEW21" s="60"/>
      <c r="XFA21" s="60"/>
    </row>
    <row r="22" spans="1:1021 1025:2045 2049:3069 3073:4093 4097:5117 5121:6141 6145:7165 7169:8189 8193:9213 9217:10237 10241:11261 11265:12285 12289:13309 13313:14333 14337:15357 15361:16381" x14ac:dyDescent="0.35">
      <c r="B22" s="1">
        <v>11</v>
      </c>
      <c r="C22" s="1" t="s">
        <v>698</v>
      </c>
      <c r="D22" s="1" t="s">
        <v>698</v>
      </c>
      <c r="E22" s="1" t="s">
        <v>698</v>
      </c>
      <c r="F22" s="1" t="s">
        <v>698</v>
      </c>
      <c r="G22" s="1" t="s">
        <v>698</v>
      </c>
      <c r="H22" s="1" t="s">
        <v>698</v>
      </c>
      <c r="I22" s="1" t="s">
        <v>698</v>
      </c>
      <c r="J22" s="1">
        <f t="shared" ref="J22:J67" si="4">SUBTOTAL(103,B22)</f>
        <v>1</v>
      </c>
      <c r="L22" s="1" t="s">
        <v>723</v>
      </c>
      <c r="M22" s="7">
        <v>19</v>
      </c>
      <c r="N22" s="5" t="s">
        <v>86</v>
      </c>
      <c r="O22" s="3" t="s">
        <v>85</v>
      </c>
      <c r="P22" s="3" t="s">
        <v>14</v>
      </c>
      <c r="Q22" s="2">
        <v>3</v>
      </c>
      <c r="R22" s="43">
        <f>VLOOKUP('11'!O22,Malzemeler!C:D,2,0)</f>
        <v>0.4</v>
      </c>
      <c r="S22" s="43">
        <f t="shared" ref="S22:S67" si="5">+R22*Q22</f>
        <v>1.2000000000000002</v>
      </c>
    </row>
    <row r="23" spans="1:1021 1025:2045 2049:3069 3073:4093 4097:5117 5121:6141 6145:7165 7169:8189 8193:9213 9217:10237 10241:11261 11265:12285 12289:13309 13313:14333 14337:15357 15361:16381" x14ac:dyDescent="0.35">
      <c r="B23" s="1">
        <v>11</v>
      </c>
      <c r="C23" s="1" t="s">
        <v>698</v>
      </c>
      <c r="D23" s="1" t="s">
        <v>698</v>
      </c>
      <c r="E23" s="1" t="s">
        <v>698</v>
      </c>
      <c r="F23" s="1" t="s">
        <v>698</v>
      </c>
      <c r="G23" s="1" t="s">
        <v>698</v>
      </c>
      <c r="H23" s="1" t="s">
        <v>698</v>
      </c>
      <c r="I23" s="1" t="s">
        <v>698</v>
      </c>
      <c r="J23" s="1">
        <f t="shared" si="4"/>
        <v>1</v>
      </c>
      <c r="L23" s="1" t="s">
        <v>723</v>
      </c>
      <c r="M23" s="7">
        <v>20</v>
      </c>
      <c r="N23" s="5" t="s">
        <v>87</v>
      </c>
      <c r="O23" s="3" t="s">
        <v>88</v>
      </c>
      <c r="P23" s="3" t="s">
        <v>14</v>
      </c>
      <c r="Q23" s="2">
        <v>0.2</v>
      </c>
      <c r="R23" s="43">
        <f>VLOOKUP('11'!O23,Malzemeler!C:D,2,0)</f>
        <v>1615.6</v>
      </c>
      <c r="S23" s="43">
        <f t="shared" si="5"/>
        <v>323.12</v>
      </c>
    </row>
    <row r="24" spans="1:1021 1025:2045 2049:3069 3073:4093 4097:5117 5121:6141 6145:7165 7169:8189 8193:9213 9217:10237 10241:11261 11265:12285 12289:13309 13313:14333 14337:15357 15361:16381" x14ac:dyDescent="0.35">
      <c r="B24" s="1">
        <v>11</v>
      </c>
      <c r="C24" s="1" t="s">
        <v>698</v>
      </c>
      <c r="D24" s="1" t="s">
        <v>698</v>
      </c>
      <c r="E24" s="1" t="s">
        <v>698</v>
      </c>
      <c r="F24" s="1" t="s">
        <v>698</v>
      </c>
      <c r="G24" s="1" t="s">
        <v>698</v>
      </c>
      <c r="H24" s="1" t="s">
        <v>698</v>
      </c>
      <c r="I24" s="1" t="s">
        <v>698</v>
      </c>
      <c r="J24" s="1">
        <f t="shared" si="4"/>
        <v>1</v>
      </c>
      <c r="L24" s="1" t="s">
        <v>723</v>
      </c>
      <c r="M24" s="7">
        <v>21</v>
      </c>
      <c r="N24" s="5" t="s">
        <v>69</v>
      </c>
      <c r="O24" s="3" t="s">
        <v>81</v>
      </c>
      <c r="P24" s="3" t="s">
        <v>14</v>
      </c>
      <c r="Q24" s="2">
        <v>0.2</v>
      </c>
      <c r="R24" s="43">
        <f>VLOOKUP('11'!O24,Malzemeler!C:D,2,0)</f>
        <v>40</v>
      </c>
      <c r="S24" s="43">
        <f t="shared" si="5"/>
        <v>8</v>
      </c>
    </row>
    <row r="25" spans="1:1021 1025:2045 2049:3069 3073:4093 4097:5117 5121:6141 6145:7165 7169:8189 8193:9213 9217:10237 10241:11261 11265:12285 12289:13309 13313:14333 14337:15357 15361:16381" x14ac:dyDescent="0.35">
      <c r="B25" s="1">
        <v>11</v>
      </c>
      <c r="C25" s="1" t="s">
        <v>698</v>
      </c>
      <c r="D25" s="1" t="s">
        <v>698</v>
      </c>
      <c r="E25" s="1" t="s">
        <v>698</v>
      </c>
      <c r="F25" s="1" t="s">
        <v>698</v>
      </c>
      <c r="G25" s="1" t="s">
        <v>698</v>
      </c>
      <c r="H25" s="1" t="s">
        <v>698</v>
      </c>
      <c r="I25" s="1" t="s">
        <v>698</v>
      </c>
      <c r="J25" s="1">
        <f t="shared" si="4"/>
        <v>1</v>
      </c>
      <c r="L25" s="1" t="s">
        <v>723</v>
      </c>
      <c r="M25" s="7">
        <v>22</v>
      </c>
      <c r="N25" s="5" t="s">
        <v>89</v>
      </c>
      <c r="O25" s="3" t="s">
        <v>75</v>
      </c>
      <c r="P25" s="3" t="s">
        <v>14</v>
      </c>
      <c r="Q25" s="2">
        <v>0.1</v>
      </c>
      <c r="R25" s="43">
        <f>VLOOKUP('11'!O25,Malzemeler!C:D,2,0)</f>
        <v>150</v>
      </c>
      <c r="S25" s="43">
        <f t="shared" si="5"/>
        <v>15</v>
      </c>
    </row>
    <row r="26" spans="1:1021 1025:2045 2049:3069 3073:4093 4097:5117 5121:6141 6145:7165 7169:8189 8193:9213 9217:10237 10241:11261 11265:12285 12289:13309 13313:14333 14337:15357 15361:16381" x14ac:dyDescent="0.35">
      <c r="B26" s="1">
        <v>11</v>
      </c>
      <c r="C26" s="1" t="s">
        <v>698</v>
      </c>
      <c r="D26" s="1" t="s">
        <v>698</v>
      </c>
      <c r="E26" s="1" t="s">
        <v>698</v>
      </c>
      <c r="F26" s="1" t="s">
        <v>698</v>
      </c>
      <c r="G26" s="1" t="s">
        <v>698</v>
      </c>
      <c r="H26" s="1" t="s">
        <v>698</v>
      </c>
      <c r="I26" s="1" t="s">
        <v>698</v>
      </c>
      <c r="J26" s="1">
        <f t="shared" si="4"/>
        <v>1</v>
      </c>
      <c r="L26" s="1" t="s">
        <v>723</v>
      </c>
      <c r="M26" s="7">
        <v>23</v>
      </c>
      <c r="N26" s="5" t="s">
        <v>66</v>
      </c>
      <c r="O26" s="3" t="s">
        <v>78</v>
      </c>
      <c r="P26" s="3" t="s">
        <v>14</v>
      </c>
      <c r="Q26" s="3">
        <v>0.8</v>
      </c>
      <c r="R26" s="43">
        <f>VLOOKUP('11'!O26,Malzemeler!C:D,2,0)</f>
        <v>30</v>
      </c>
      <c r="S26" s="43">
        <f t="shared" si="5"/>
        <v>24</v>
      </c>
    </row>
    <row r="27" spans="1:1021 1025:2045 2049:3069 3073:4093 4097:5117 5121:6141 6145:7165 7169:8189 8193:9213 9217:10237 10241:11261 11265:12285 12289:13309 13313:14333 14337:15357 15361:16381" x14ac:dyDescent="0.35">
      <c r="B27" s="1">
        <v>11</v>
      </c>
      <c r="C27" s="1" t="s">
        <v>698</v>
      </c>
      <c r="D27" s="1" t="s">
        <v>698</v>
      </c>
      <c r="E27" s="1" t="s">
        <v>698</v>
      </c>
      <c r="F27" s="1" t="s">
        <v>698</v>
      </c>
      <c r="G27" s="1" t="s">
        <v>698</v>
      </c>
      <c r="H27" s="1" t="s">
        <v>698</v>
      </c>
      <c r="I27" s="1" t="s">
        <v>698</v>
      </c>
      <c r="J27" s="1">
        <f t="shared" si="4"/>
        <v>1</v>
      </c>
      <c r="L27" s="1" t="s">
        <v>723</v>
      </c>
      <c r="M27" s="7">
        <v>24</v>
      </c>
      <c r="N27" s="5" t="s">
        <v>65</v>
      </c>
      <c r="O27" s="3" t="s">
        <v>77</v>
      </c>
      <c r="P27" s="3" t="s">
        <v>14</v>
      </c>
      <c r="Q27" s="2">
        <v>1</v>
      </c>
      <c r="R27" s="43">
        <f>VLOOKUP('11'!O27,Malzemeler!C:D,2,0)</f>
        <v>150</v>
      </c>
      <c r="S27" s="43">
        <f t="shared" si="5"/>
        <v>150</v>
      </c>
    </row>
    <row r="28" spans="1:1021 1025:2045 2049:3069 3073:4093 4097:5117 5121:6141 6145:7165 7169:8189 8193:9213 9217:10237 10241:11261 11265:12285 12289:13309 13313:14333 14337:15357 15361:16381" x14ac:dyDescent="0.35">
      <c r="B28" s="1">
        <v>11</v>
      </c>
      <c r="C28" s="1" t="s">
        <v>698</v>
      </c>
      <c r="D28" s="1" t="s">
        <v>698</v>
      </c>
      <c r="E28" s="1" t="s">
        <v>698</v>
      </c>
      <c r="F28" s="1" t="s">
        <v>698</v>
      </c>
      <c r="G28" s="1" t="s">
        <v>698</v>
      </c>
      <c r="H28" s="1" t="s">
        <v>698</v>
      </c>
      <c r="I28" s="1" t="s">
        <v>698</v>
      </c>
      <c r="J28" s="1">
        <f t="shared" si="4"/>
        <v>1</v>
      </c>
      <c r="L28" s="1" t="s">
        <v>723</v>
      </c>
      <c r="M28" s="7">
        <v>25</v>
      </c>
      <c r="N28" s="5" t="s">
        <v>175</v>
      </c>
      <c r="O28" s="3" t="s">
        <v>176</v>
      </c>
      <c r="P28" s="3" t="s">
        <v>14</v>
      </c>
      <c r="Q28" s="3">
        <v>1</v>
      </c>
      <c r="R28" s="43">
        <f>VLOOKUP('11'!O28,Malzemeler!C:D,2,0)</f>
        <v>370</v>
      </c>
      <c r="S28" s="43">
        <f t="shared" si="5"/>
        <v>370</v>
      </c>
    </row>
    <row r="29" spans="1:1021 1025:2045 2049:3069 3073:4093 4097:5117 5121:6141 6145:7165 7169:8189 8193:9213 9217:10237 10241:11261 11265:12285 12289:13309 13313:14333 14337:15357 15361:16381" x14ac:dyDescent="0.35">
      <c r="B29" s="1">
        <v>11</v>
      </c>
      <c r="C29" s="1" t="s">
        <v>698</v>
      </c>
      <c r="D29" s="1" t="s">
        <v>698</v>
      </c>
      <c r="E29" s="1" t="s">
        <v>698</v>
      </c>
      <c r="F29" s="1" t="s">
        <v>698</v>
      </c>
      <c r="G29" s="1" t="s">
        <v>698</v>
      </c>
      <c r="H29" s="1" t="s">
        <v>698</v>
      </c>
      <c r="I29" s="1" t="s">
        <v>698</v>
      </c>
      <c r="J29" s="1">
        <f t="shared" si="4"/>
        <v>1</v>
      </c>
      <c r="L29" s="1" t="s">
        <v>723</v>
      </c>
      <c r="M29" s="7">
        <v>26</v>
      </c>
      <c r="N29" s="5" t="s">
        <v>175</v>
      </c>
      <c r="O29" s="3" t="s">
        <v>176</v>
      </c>
      <c r="P29" s="3" t="s">
        <v>14</v>
      </c>
      <c r="Q29" s="3">
        <v>1</v>
      </c>
      <c r="R29" s="43">
        <f>VLOOKUP('11'!O29,Malzemeler!C:D,2,0)</f>
        <v>370</v>
      </c>
      <c r="S29" s="43">
        <f t="shared" si="5"/>
        <v>370</v>
      </c>
    </row>
    <row r="30" spans="1:1021 1025:2045 2049:3069 3073:4093 4097:5117 5121:6141 6145:7165 7169:8189 8193:9213 9217:10237 10241:11261 11265:12285 12289:13309 13313:14333 14337:15357 15361:16381" x14ac:dyDescent="0.35">
      <c r="B30" s="1">
        <v>11</v>
      </c>
      <c r="C30" s="1" t="s">
        <v>698</v>
      </c>
      <c r="D30" s="1" t="s">
        <v>698</v>
      </c>
      <c r="E30" s="1" t="s">
        <v>698</v>
      </c>
      <c r="F30" s="1" t="s">
        <v>698</v>
      </c>
      <c r="G30" s="1" t="s">
        <v>698</v>
      </c>
      <c r="H30" s="1" t="s">
        <v>698</v>
      </c>
      <c r="I30" s="1" t="s">
        <v>698</v>
      </c>
      <c r="J30" s="1">
        <f t="shared" si="4"/>
        <v>1</v>
      </c>
      <c r="L30" s="1" t="s">
        <v>723</v>
      </c>
      <c r="M30" s="7">
        <v>27</v>
      </c>
      <c r="N30" s="5" t="s">
        <v>168</v>
      </c>
      <c r="O30" s="3" t="s">
        <v>169</v>
      </c>
      <c r="P30" s="3" t="s">
        <v>14</v>
      </c>
      <c r="Q30" s="3">
        <v>1</v>
      </c>
      <c r="R30" s="43">
        <f>VLOOKUP('11'!O30,Malzemeler!C:D,2,0)</f>
        <v>760.2</v>
      </c>
      <c r="S30" s="43">
        <f t="shared" si="5"/>
        <v>760.2</v>
      </c>
    </row>
    <row r="31" spans="1:1021 1025:2045 2049:3069 3073:4093 4097:5117 5121:6141 6145:7165 7169:8189 8193:9213 9217:10237 10241:11261 11265:12285 12289:13309 13313:14333 14337:15357 15361:16381" x14ac:dyDescent="0.35">
      <c r="B31" s="1">
        <v>11</v>
      </c>
      <c r="C31" s="1" t="s">
        <v>698</v>
      </c>
      <c r="D31" s="1" t="s">
        <v>698</v>
      </c>
      <c r="E31" s="1" t="s">
        <v>698</v>
      </c>
      <c r="F31" s="1" t="s">
        <v>698</v>
      </c>
      <c r="G31" s="1" t="s">
        <v>698</v>
      </c>
      <c r="H31" s="1" t="s">
        <v>698</v>
      </c>
      <c r="I31" s="1" t="s">
        <v>698</v>
      </c>
      <c r="J31" s="1">
        <f t="shared" si="4"/>
        <v>1</v>
      </c>
      <c r="L31" s="1" t="s">
        <v>723</v>
      </c>
      <c r="M31" s="7">
        <v>28</v>
      </c>
      <c r="N31" s="5" t="s">
        <v>170</v>
      </c>
      <c r="O31" s="3" t="s">
        <v>171</v>
      </c>
      <c r="P31" s="3" t="s">
        <v>14</v>
      </c>
      <c r="Q31" s="3">
        <v>1</v>
      </c>
      <c r="R31" s="43">
        <f>VLOOKUP('11'!O31,Malzemeler!C:D,2,0)</f>
        <v>275</v>
      </c>
      <c r="S31" s="43">
        <f t="shared" si="5"/>
        <v>275</v>
      </c>
    </row>
    <row r="32" spans="1:1021 1025:2045 2049:3069 3073:4093 4097:5117 5121:6141 6145:7165 7169:8189 8193:9213 9217:10237 10241:11261 11265:12285 12289:13309 13313:14333 14337:15357 15361:16381" x14ac:dyDescent="0.35">
      <c r="B32" s="1">
        <v>11</v>
      </c>
      <c r="C32" s="1" t="s">
        <v>698</v>
      </c>
      <c r="D32" s="1" t="s">
        <v>698</v>
      </c>
      <c r="E32" s="1" t="s">
        <v>698</v>
      </c>
      <c r="F32" s="1" t="s">
        <v>698</v>
      </c>
      <c r="G32" s="1" t="s">
        <v>698</v>
      </c>
      <c r="H32" s="1" t="s">
        <v>698</v>
      </c>
      <c r="I32" s="1" t="s">
        <v>698</v>
      </c>
      <c r="J32" s="1">
        <f t="shared" si="4"/>
        <v>1</v>
      </c>
      <c r="L32" s="1" t="s">
        <v>723</v>
      </c>
      <c r="M32" s="7">
        <v>29</v>
      </c>
      <c r="N32" s="5" t="s">
        <v>172</v>
      </c>
      <c r="O32" s="3" t="s">
        <v>521</v>
      </c>
      <c r="P32" s="3" t="s">
        <v>14</v>
      </c>
      <c r="Q32" s="3">
        <v>1</v>
      </c>
      <c r="R32" s="43">
        <f>VLOOKUP('11'!O32,Malzemeler!C:D,2,0)</f>
        <v>585</v>
      </c>
      <c r="S32" s="43">
        <f t="shared" si="5"/>
        <v>585</v>
      </c>
    </row>
    <row r="33" spans="2:19" x14ac:dyDescent="0.35">
      <c r="B33" s="1">
        <v>11</v>
      </c>
      <c r="C33" s="1" t="s">
        <v>698</v>
      </c>
      <c r="D33" s="1" t="s">
        <v>698</v>
      </c>
      <c r="E33" s="1" t="s">
        <v>698</v>
      </c>
      <c r="F33" s="1" t="s">
        <v>698</v>
      </c>
      <c r="G33" s="1" t="s">
        <v>698</v>
      </c>
      <c r="H33" s="1" t="s">
        <v>698</v>
      </c>
      <c r="I33" s="1" t="s">
        <v>698</v>
      </c>
      <c r="J33" s="1">
        <f t="shared" si="4"/>
        <v>1</v>
      </c>
      <c r="L33" s="1" t="s">
        <v>723</v>
      </c>
      <c r="M33" s="7">
        <v>30</v>
      </c>
      <c r="N33" s="5" t="s">
        <v>173</v>
      </c>
      <c r="O33" s="3" t="s">
        <v>530</v>
      </c>
      <c r="P33" s="3" t="s">
        <v>14</v>
      </c>
      <c r="Q33" s="3">
        <v>1</v>
      </c>
      <c r="R33" s="43">
        <f>VLOOKUP('11'!O33,Malzemeler!C:D,2,0)</f>
        <v>480</v>
      </c>
      <c r="S33" s="43">
        <f t="shared" si="5"/>
        <v>480</v>
      </c>
    </row>
    <row r="34" spans="2:19" x14ac:dyDescent="0.35">
      <c r="B34" s="1">
        <v>11</v>
      </c>
      <c r="C34" s="1" t="s">
        <v>698</v>
      </c>
      <c r="D34" s="1" t="s">
        <v>698</v>
      </c>
      <c r="E34" s="1" t="s">
        <v>698</v>
      </c>
      <c r="F34" s="1" t="s">
        <v>698</v>
      </c>
      <c r="G34" s="1" t="s">
        <v>698</v>
      </c>
      <c r="H34" s="1" t="s">
        <v>698</v>
      </c>
      <c r="I34" s="1" t="s">
        <v>698</v>
      </c>
      <c r="J34" s="1">
        <f t="shared" si="4"/>
        <v>1</v>
      </c>
      <c r="L34" s="1" t="s">
        <v>723</v>
      </c>
      <c r="M34" s="7">
        <v>31</v>
      </c>
      <c r="N34" s="6" t="s">
        <v>137</v>
      </c>
      <c r="O34" s="3" t="s">
        <v>138</v>
      </c>
      <c r="P34" s="3" t="s">
        <v>14</v>
      </c>
      <c r="Q34" s="3">
        <v>2</v>
      </c>
      <c r="R34" s="43">
        <f>VLOOKUP('11'!O34,Malzemeler!C:D,2,0)</f>
        <v>23.06</v>
      </c>
      <c r="S34" s="43">
        <f t="shared" si="5"/>
        <v>46.12</v>
      </c>
    </row>
    <row r="35" spans="2:19" x14ac:dyDescent="0.35">
      <c r="B35" s="1">
        <v>11</v>
      </c>
      <c r="C35" s="1" t="s">
        <v>698</v>
      </c>
      <c r="D35" s="1" t="s">
        <v>698</v>
      </c>
      <c r="E35" s="1" t="s">
        <v>698</v>
      </c>
      <c r="F35" s="1" t="s">
        <v>698</v>
      </c>
      <c r="G35" s="1" t="s">
        <v>698</v>
      </c>
      <c r="H35" s="1" t="s">
        <v>698</v>
      </c>
      <c r="I35" s="1" t="s">
        <v>698</v>
      </c>
      <c r="J35" s="1">
        <f t="shared" si="4"/>
        <v>1</v>
      </c>
      <c r="L35" s="1" t="s">
        <v>723</v>
      </c>
      <c r="M35" s="7">
        <v>32</v>
      </c>
      <c r="N35" s="6" t="s">
        <v>139</v>
      </c>
      <c r="O35" s="3" t="s">
        <v>140</v>
      </c>
      <c r="P35" s="3" t="s">
        <v>14</v>
      </c>
      <c r="Q35" s="3">
        <v>1</v>
      </c>
      <c r="R35" s="43">
        <f>VLOOKUP('11'!O35,Malzemeler!C:D,2,0)</f>
        <v>28.23</v>
      </c>
      <c r="S35" s="43">
        <f t="shared" si="5"/>
        <v>28.23</v>
      </c>
    </row>
    <row r="36" spans="2:19" x14ac:dyDescent="0.35">
      <c r="B36" s="1">
        <v>11</v>
      </c>
      <c r="C36" s="1" t="s">
        <v>698</v>
      </c>
      <c r="D36" s="1" t="s">
        <v>698</v>
      </c>
      <c r="E36" s="1" t="s">
        <v>698</v>
      </c>
      <c r="F36" s="1" t="s">
        <v>698</v>
      </c>
      <c r="G36" s="1" t="s">
        <v>698</v>
      </c>
      <c r="H36" s="1" t="s">
        <v>698</v>
      </c>
      <c r="I36" s="1" t="s">
        <v>698</v>
      </c>
      <c r="J36" s="1">
        <f t="shared" si="4"/>
        <v>1</v>
      </c>
      <c r="L36" s="1" t="s">
        <v>723</v>
      </c>
      <c r="M36" s="7">
        <v>33</v>
      </c>
      <c r="N36" s="6" t="s">
        <v>141</v>
      </c>
      <c r="O36" s="3" t="s">
        <v>142</v>
      </c>
      <c r="P36" s="3" t="s">
        <v>14</v>
      </c>
      <c r="Q36" s="3">
        <v>2</v>
      </c>
      <c r="R36" s="43">
        <f>VLOOKUP('11'!O36,Malzemeler!C:D,2,0)</f>
        <v>22.12</v>
      </c>
      <c r="S36" s="43">
        <f t="shared" si="5"/>
        <v>44.24</v>
      </c>
    </row>
    <row r="37" spans="2:19" x14ac:dyDescent="0.35">
      <c r="B37" s="1">
        <v>11</v>
      </c>
      <c r="C37" s="1" t="s">
        <v>698</v>
      </c>
      <c r="D37" s="1" t="s">
        <v>698</v>
      </c>
      <c r="E37" s="1" t="s">
        <v>698</v>
      </c>
      <c r="F37" s="1" t="s">
        <v>698</v>
      </c>
      <c r="G37" s="1" t="s">
        <v>698</v>
      </c>
      <c r="H37" s="1" t="s">
        <v>698</v>
      </c>
      <c r="I37" s="1" t="s">
        <v>698</v>
      </c>
      <c r="J37" s="1">
        <f t="shared" si="4"/>
        <v>1</v>
      </c>
      <c r="L37" s="1" t="s">
        <v>723</v>
      </c>
      <c r="M37" s="7">
        <v>34</v>
      </c>
      <c r="N37" s="6" t="s">
        <v>143</v>
      </c>
      <c r="O37" s="3" t="s">
        <v>144</v>
      </c>
      <c r="P37" s="3" t="s">
        <v>14</v>
      </c>
      <c r="Q37" s="3">
        <v>1</v>
      </c>
      <c r="R37" s="43">
        <f>VLOOKUP('11'!O37,Malzemeler!C:D,2,0)</f>
        <v>27.29</v>
      </c>
      <c r="S37" s="43">
        <f t="shared" si="5"/>
        <v>27.29</v>
      </c>
    </row>
    <row r="38" spans="2:19" x14ac:dyDescent="0.35">
      <c r="B38" s="1">
        <v>11</v>
      </c>
      <c r="C38" s="1" t="s">
        <v>698</v>
      </c>
      <c r="D38" s="1" t="s">
        <v>698</v>
      </c>
      <c r="E38" s="1" t="s">
        <v>698</v>
      </c>
      <c r="F38" s="1" t="s">
        <v>698</v>
      </c>
      <c r="G38" s="1" t="s">
        <v>698</v>
      </c>
      <c r="H38" s="1" t="s">
        <v>698</v>
      </c>
      <c r="I38" s="1" t="s">
        <v>698</v>
      </c>
      <c r="J38" s="1">
        <f t="shared" si="4"/>
        <v>1</v>
      </c>
      <c r="L38" s="1" t="s">
        <v>723</v>
      </c>
      <c r="M38" s="7">
        <v>35</v>
      </c>
      <c r="N38" s="6" t="s">
        <v>90</v>
      </c>
      <c r="O38" s="3" t="s">
        <v>91</v>
      </c>
      <c r="P38" s="3" t="s">
        <v>132</v>
      </c>
      <c r="Q38" s="10">
        <v>14.048999999999999</v>
      </c>
      <c r="R38" s="43">
        <f>VLOOKUP('11'!O38,Malzemeler!C:D,2,0)</f>
        <v>1.27</v>
      </c>
      <c r="S38" s="43">
        <f t="shared" si="5"/>
        <v>17.842230000000001</v>
      </c>
    </row>
    <row r="39" spans="2:19" x14ac:dyDescent="0.35">
      <c r="B39" s="1">
        <v>11</v>
      </c>
      <c r="C39" s="1" t="s">
        <v>698</v>
      </c>
      <c r="D39" s="1" t="s">
        <v>698</v>
      </c>
      <c r="E39" s="1" t="s">
        <v>698</v>
      </c>
      <c r="F39" s="1" t="s">
        <v>698</v>
      </c>
      <c r="G39" s="1" t="s">
        <v>698</v>
      </c>
      <c r="H39" s="1" t="s">
        <v>698</v>
      </c>
      <c r="I39" s="1" t="s">
        <v>698</v>
      </c>
      <c r="J39" s="1">
        <f t="shared" si="4"/>
        <v>1</v>
      </c>
      <c r="L39" s="1" t="s">
        <v>723</v>
      </c>
      <c r="M39" s="7">
        <v>36</v>
      </c>
      <c r="N39" s="6" t="s">
        <v>92</v>
      </c>
      <c r="O39" s="3" t="s">
        <v>93</v>
      </c>
      <c r="P39" s="3" t="s">
        <v>132</v>
      </c>
      <c r="Q39" s="10">
        <v>5.52</v>
      </c>
      <c r="R39" s="43">
        <f>VLOOKUP('11'!O39,Malzemeler!C:D,2,0)</f>
        <v>1.74</v>
      </c>
      <c r="S39" s="43">
        <f t="shared" si="5"/>
        <v>9.6047999999999991</v>
      </c>
    </row>
    <row r="40" spans="2:19" x14ac:dyDescent="0.35">
      <c r="B40" s="1">
        <v>11</v>
      </c>
      <c r="C40" s="1" t="s">
        <v>698</v>
      </c>
      <c r="D40" s="1" t="s">
        <v>698</v>
      </c>
      <c r="E40" s="1" t="s">
        <v>698</v>
      </c>
      <c r="F40" s="1" t="s">
        <v>698</v>
      </c>
      <c r="G40" s="1" t="s">
        <v>698</v>
      </c>
      <c r="H40" s="1" t="s">
        <v>698</v>
      </c>
      <c r="I40" s="1" t="s">
        <v>698</v>
      </c>
      <c r="J40" s="1">
        <f t="shared" si="4"/>
        <v>1</v>
      </c>
      <c r="L40" s="1" t="s">
        <v>723</v>
      </c>
      <c r="M40" s="7">
        <v>37</v>
      </c>
      <c r="N40" s="6" t="s">
        <v>94</v>
      </c>
      <c r="O40" s="3" t="s">
        <v>95</v>
      </c>
      <c r="P40" s="3" t="s">
        <v>132</v>
      </c>
      <c r="Q40" s="10">
        <v>29.730999999999998</v>
      </c>
      <c r="R40" s="43">
        <f>VLOOKUP('11'!O40,Malzemeler!C:D,2,0)</f>
        <v>1.95</v>
      </c>
      <c r="S40" s="43">
        <f t="shared" si="5"/>
        <v>57.975449999999995</v>
      </c>
    </row>
    <row r="41" spans="2:19" x14ac:dyDescent="0.35">
      <c r="B41" s="1">
        <v>11</v>
      </c>
      <c r="C41" s="1" t="s">
        <v>698</v>
      </c>
      <c r="D41" s="1" t="s">
        <v>698</v>
      </c>
      <c r="E41" s="1" t="s">
        <v>698</v>
      </c>
      <c r="F41" s="1" t="s">
        <v>698</v>
      </c>
      <c r="G41" s="1" t="s">
        <v>698</v>
      </c>
      <c r="H41" s="1" t="s">
        <v>698</v>
      </c>
      <c r="I41" s="1" t="s">
        <v>698</v>
      </c>
      <c r="J41" s="1">
        <f t="shared" si="4"/>
        <v>1</v>
      </c>
      <c r="L41" s="1" t="s">
        <v>723</v>
      </c>
      <c r="M41" s="7">
        <v>38</v>
      </c>
      <c r="N41" s="6" t="s">
        <v>611</v>
      </c>
      <c r="O41" s="3" t="s">
        <v>229</v>
      </c>
      <c r="P41" s="3" t="s">
        <v>133</v>
      </c>
      <c r="Q41" s="10">
        <v>68</v>
      </c>
      <c r="R41" s="43">
        <f>VLOOKUP('11'!O41,Malzemeler!C:D,2,0)</f>
        <v>0.79</v>
      </c>
      <c r="S41" s="43">
        <f t="shared" si="5"/>
        <v>53.72</v>
      </c>
    </row>
    <row r="42" spans="2:19" x14ac:dyDescent="0.35">
      <c r="B42" s="1">
        <v>11</v>
      </c>
      <c r="C42" s="1" t="s">
        <v>698</v>
      </c>
      <c r="D42" s="1" t="s">
        <v>698</v>
      </c>
      <c r="E42" s="1" t="s">
        <v>698</v>
      </c>
      <c r="F42" s="1" t="s">
        <v>698</v>
      </c>
      <c r="G42" s="1" t="s">
        <v>698</v>
      </c>
      <c r="H42" s="1" t="s">
        <v>698</v>
      </c>
      <c r="I42" s="1" t="s">
        <v>698</v>
      </c>
      <c r="J42" s="1">
        <f t="shared" si="4"/>
        <v>1</v>
      </c>
      <c r="L42" s="1" t="s">
        <v>723</v>
      </c>
      <c r="M42" s="7">
        <v>39</v>
      </c>
      <c r="N42" s="6" t="s">
        <v>612</v>
      </c>
      <c r="O42" s="3" t="s">
        <v>97</v>
      </c>
      <c r="P42" s="3" t="s">
        <v>133</v>
      </c>
      <c r="Q42" s="10">
        <v>85</v>
      </c>
      <c r="R42" s="43">
        <f>VLOOKUP('11'!O42,Malzemeler!C:D,2,0)</f>
        <v>0.8</v>
      </c>
      <c r="S42" s="43">
        <f t="shared" si="5"/>
        <v>68</v>
      </c>
    </row>
    <row r="43" spans="2:19" x14ac:dyDescent="0.35">
      <c r="B43" s="1">
        <v>11</v>
      </c>
      <c r="C43" s="1" t="s">
        <v>698</v>
      </c>
      <c r="D43" s="1" t="s">
        <v>698</v>
      </c>
      <c r="E43" s="1" t="s">
        <v>698</v>
      </c>
      <c r="F43" s="1" t="s">
        <v>698</v>
      </c>
      <c r="G43" s="1" t="s">
        <v>698</v>
      </c>
      <c r="H43" s="1" t="s">
        <v>698</v>
      </c>
      <c r="I43" s="1" t="s">
        <v>698</v>
      </c>
      <c r="J43" s="1">
        <f t="shared" si="4"/>
        <v>1</v>
      </c>
      <c r="L43" s="1" t="s">
        <v>723</v>
      </c>
      <c r="M43" s="7">
        <v>40</v>
      </c>
      <c r="N43" s="6" t="s">
        <v>613</v>
      </c>
      <c r="O43" s="3" t="s">
        <v>231</v>
      </c>
      <c r="P43" s="3" t="s">
        <v>133</v>
      </c>
      <c r="Q43" s="10">
        <v>21</v>
      </c>
      <c r="R43" s="43">
        <f>VLOOKUP('11'!O43,Malzemeler!C:D,2,0)</f>
        <v>0.85</v>
      </c>
      <c r="S43" s="43">
        <f t="shared" si="5"/>
        <v>17.849999999999998</v>
      </c>
    </row>
    <row r="44" spans="2:19" x14ac:dyDescent="0.35">
      <c r="B44" s="1">
        <v>11</v>
      </c>
      <c r="C44" s="1" t="s">
        <v>698</v>
      </c>
      <c r="D44" s="1" t="s">
        <v>698</v>
      </c>
      <c r="E44" s="1" t="s">
        <v>698</v>
      </c>
      <c r="F44" s="1" t="s">
        <v>698</v>
      </c>
      <c r="G44" s="1" t="s">
        <v>698</v>
      </c>
      <c r="H44" s="1" t="s">
        <v>698</v>
      </c>
      <c r="I44" s="1" t="s">
        <v>698</v>
      </c>
      <c r="J44" s="1">
        <f t="shared" si="4"/>
        <v>1</v>
      </c>
      <c r="L44" s="1" t="s">
        <v>723</v>
      </c>
      <c r="M44" s="7">
        <v>41</v>
      </c>
      <c r="N44" s="6" t="s">
        <v>609</v>
      </c>
      <c r="O44" s="3" t="s">
        <v>99</v>
      </c>
      <c r="P44" s="3" t="s">
        <v>133</v>
      </c>
      <c r="Q44" s="10">
        <v>13.5</v>
      </c>
      <c r="R44" s="43">
        <f>VLOOKUP('11'!O44,Malzemeler!C:D,2,0)</f>
        <v>0.87</v>
      </c>
      <c r="S44" s="43">
        <f t="shared" si="5"/>
        <v>11.744999999999999</v>
      </c>
    </row>
    <row r="45" spans="2:19" x14ac:dyDescent="0.35">
      <c r="B45" s="1">
        <v>11</v>
      </c>
      <c r="C45" s="1" t="s">
        <v>698</v>
      </c>
      <c r="D45" s="1" t="s">
        <v>698</v>
      </c>
      <c r="E45" s="1" t="s">
        <v>698</v>
      </c>
      <c r="F45" s="1" t="s">
        <v>698</v>
      </c>
      <c r="G45" s="1" t="s">
        <v>698</v>
      </c>
      <c r="H45" s="1" t="s">
        <v>698</v>
      </c>
      <c r="I45" s="1" t="s">
        <v>698</v>
      </c>
      <c r="J45" s="1">
        <f t="shared" si="4"/>
        <v>1</v>
      </c>
      <c r="L45" s="1" t="s">
        <v>723</v>
      </c>
      <c r="M45" s="7">
        <v>42</v>
      </c>
      <c r="N45" s="6" t="s">
        <v>610</v>
      </c>
      <c r="O45" s="3" t="s">
        <v>235</v>
      </c>
      <c r="P45" s="3" t="s">
        <v>133</v>
      </c>
      <c r="Q45" s="10">
        <v>24.5</v>
      </c>
      <c r="R45" s="43">
        <f>VLOOKUP('11'!O45,Malzemeler!C:D,2,0)</f>
        <v>2.3199999999999998</v>
      </c>
      <c r="S45" s="43">
        <f t="shared" si="5"/>
        <v>56.839999999999996</v>
      </c>
    </row>
    <row r="46" spans="2:19" x14ac:dyDescent="0.35">
      <c r="B46" s="1">
        <v>11</v>
      </c>
      <c r="C46" s="1" t="s">
        <v>698</v>
      </c>
      <c r="D46" s="1" t="s">
        <v>698</v>
      </c>
      <c r="E46" s="1" t="s">
        <v>698</v>
      </c>
      <c r="F46" s="1" t="s">
        <v>698</v>
      </c>
      <c r="G46" s="1" t="s">
        <v>698</v>
      </c>
      <c r="H46" s="1" t="s">
        <v>698</v>
      </c>
      <c r="I46" s="1" t="s">
        <v>698</v>
      </c>
      <c r="J46" s="1">
        <f t="shared" si="4"/>
        <v>1</v>
      </c>
      <c r="L46" s="1" t="s">
        <v>723</v>
      </c>
      <c r="M46" s="7">
        <v>43</v>
      </c>
      <c r="N46" s="6" t="s">
        <v>607</v>
      </c>
      <c r="O46" s="3" t="s">
        <v>608</v>
      </c>
      <c r="P46" s="3" t="s">
        <v>133</v>
      </c>
      <c r="Q46" s="10">
        <v>200</v>
      </c>
      <c r="R46" s="43">
        <f>VLOOKUP('11'!O46,Malzemeler!C:D,2,0)</f>
        <v>0</v>
      </c>
      <c r="S46" s="43">
        <f t="shared" si="5"/>
        <v>0</v>
      </c>
    </row>
    <row r="47" spans="2:19" x14ac:dyDescent="0.35">
      <c r="B47" s="1">
        <v>11</v>
      </c>
      <c r="C47" s="1" t="s">
        <v>698</v>
      </c>
      <c r="D47" s="1" t="s">
        <v>698</v>
      </c>
      <c r="E47" s="1" t="s">
        <v>698</v>
      </c>
      <c r="F47" s="1" t="s">
        <v>698</v>
      </c>
      <c r="G47" s="1" t="s">
        <v>698</v>
      </c>
      <c r="H47" s="1" t="s">
        <v>698</v>
      </c>
      <c r="I47" s="1" t="s">
        <v>698</v>
      </c>
      <c r="J47" s="1">
        <f t="shared" si="4"/>
        <v>1</v>
      </c>
      <c r="L47" s="1" t="s">
        <v>723</v>
      </c>
      <c r="M47" s="7">
        <v>44</v>
      </c>
      <c r="N47" s="6" t="s">
        <v>106</v>
      </c>
      <c r="O47" s="3" t="s">
        <v>107</v>
      </c>
      <c r="P47" s="3" t="s">
        <v>14</v>
      </c>
      <c r="Q47" s="11">
        <v>4</v>
      </c>
      <c r="R47" s="43">
        <f>VLOOKUP('11'!O47,Malzemeler!C:D,2,0)</f>
        <v>0</v>
      </c>
      <c r="S47" s="43">
        <f t="shared" si="5"/>
        <v>0</v>
      </c>
    </row>
    <row r="48" spans="2:19" x14ac:dyDescent="0.35">
      <c r="B48" s="1">
        <v>11</v>
      </c>
      <c r="C48" s="1" t="s">
        <v>698</v>
      </c>
      <c r="D48" s="1" t="s">
        <v>698</v>
      </c>
      <c r="E48" s="1" t="s">
        <v>698</v>
      </c>
      <c r="F48" s="1" t="s">
        <v>698</v>
      </c>
      <c r="G48" s="1" t="s">
        <v>698</v>
      </c>
      <c r="H48" s="1" t="s">
        <v>698</v>
      </c>
      <c r="I48" s="1" t="s">
        <v>698</v>
      </c>
      <c r="J48" s="1">
        <f t="shared" si="4"/>
        <v>1</v>
      </c>
      <c r="L48" s="1" t="s">
        <v>723</v>
      </c>
      <c r="M48" s="7">
        <v>45</v>
      </c>
      <c r="N48" s="6" t="s">
        <v>108</v>
      </c>
      <c r="O48" s="3" t="s">
        <v>109</v>
      </c>
      <c r="P48" s="3" t="s">
        <v>14</v>
      </c>
      <c r="Q48" s="11">
        <v>4</v>
      </c>
      <c r="R48" s="43">
        <f>VLOOKUP('11'!O48,Malzemeler!C:D,2,0)</f>
        <v>0</v>
      </c>
      <c r="S48" s="43">
        <f t="shared" si="5"/>
        <v>0</v>
      </c>
    </row>
    <row r="49" spans="2:19" x14ac:dyDescent="0.35">
      <c r="B49" s="1">
        <v>11</v>
      </c>
      <c r="C49" s="1" t="s">
        <v>698</v>
      </c>
      <c r="D49" s="1" t="s">
        <v>698</v>
      </c>
      <c r="E49" s="1" t="s">
        <v>698</v>
      </c>
      <c r="F49" s="1" t="s">
        <v>698</v>
      </c>
      <c r="G49" s="1" t="s">
        <v>698</v>
      </c>
      <c r="H49" s="1" t="s">
        <v>698</v>
      </c>
      <c r="I49" s="1" t="s">
        <v>698</v>
      </c>
      <c r="J49" s="1">
        <f t="shared" si="4"/>
        <v>1</v>
      </c>
      <c r="L49" s="1" t="s">
        <v>723</v>
      </c>
      <c r="M49" s="7">
        <v>46</v>
      </c>
      <c r="N49" s="6" t="s">
        <v>110</v>
      </c>
      <c r="O49" s="3" t="s">
        <v>111</v>
      </c>
      <c r="P49" s="3" t="s">
        <v>132</v>
      </c>
      <c r="Q49" s="10">
        <v>74</v>
      </c>
      <c r="R49" s="43">
        <f>VLOOKUP('11'!O49,Malzemeler!C:D,2,0)</f>
        <v>1.1200000000000001</v>
      </c>
      <c r="S49" s="43">
        <f t="shared" si="5"/>
        <v>82.88000000000001</v>
      </c>
    </row>
    <row r="50" spans="2:19" x14ac:dyDescent="0.35">
      <c r="B50" s="1">
        <v>11</v>
      </c>
      <c r="C50" s="1" t="s">
        <v>698</v>
      </c>
      <c r="D50" s="1" t="s">
        <v>698</v>
      </c>
      <c r="E50" s="1" t="s">
        <v>698</v>
      </c>
      <c r="F50" s="1" t="s">
        <v>698</v>
      </c>
      <c r="G50" s="1" t="s">
        <v>698</v>
      </c>
      <c r="H50" s="1" t="s">
        <v>698</v>
      </c>
      <c r="I50" s="1" t="s">
        <v>698</v>
      </c>
      <c r="J50" s="1">
        <f t="shared" si="4"/>
        <v>1</v>
      </c>
      <c r="L50" s="1" t="s">
        <v>723</v>
      </c>
      <c r="M50" s="7">
        <v>47</v>
      </c>
      <c r="N50" s="6" t="s">
        <v>112</v>
      </c>
      <c r="O50" s="3" t="s">
        <v>113</v>
      </c>
      <c r="P50" s="3" t="s">
        <v>134</v>
      </c>
      <c r="Q50" s="10">
        <v>84</v>
      </c>
      <c r="R50" s="43">
        <f>VLOOKUP('11'!O50,Malzemeler!C:D,2,0)</f>
        <v>1.1200000000000001</v>
      </c>
      <c r="S50" s="43">
        <f t="shared" si="5"/>
        <v>94.080000000000013</v>
      </c>
    </row>
    <row r="51" spans="2:19" x14ac:dyDescent="0.35">
      <c r="B51" s="1">
        <v>11</v>
      </c>
      <c r="C51" s="1" t="s">
        <v>698</v>
      </c>
      <c r="D51" s="1" t="s">
        <v>698</v>
      </c>
      <c r="E51" s="1" t="s">
        <v>698</v>
      </c>
      <c r="F51" s="1" t="s">
        <v>698</v>
      </c>
      <c r="G51" s="1" t="s">
        <v>698</v>
      </c>
      <c r="H51" s="1" t="s">
        <v>698</v>
      </c>
      <c r="I51" s="1" t="s">
        <v>698</v>
      </c>
      <c r="J51" s="1">
        <f t="shared" si="4"/>
        <v>1</v>
      </c>
      <c r="L51" s="1" t="s">
        <v>723</v>
      </c>
      <c r="M51" s="7">
        <v>48</v>
      </c>
      <c r="N51" s="6" t="s">
        <v>114</v>
      </c>
      <c r="O51" s="3" t="s">
        <v>115</v>
      </c>
      <c r="P51" s="3" t="s">
        <v>132</v>
      </c>
      <c r="Q51" s="10">
        <v>13</v>
      </c>
      <c r="R51" s="43">
        <f>VLOOKUP('11'!O51,Malzemeler!C:D,2,0)</f>
        <v>2.21</v>
      </c>
      <c r="S51" s="43">
        <f t="shared" si="5"/>
        <v>28.73</v>
      </c>
    </row>
    <row r="52" spans="2:19" x14ac:dyDescent="0.35">
      <c r="B52" s="1">
        <v>11</v>
      </c>
      <c r="C52" s="1" t="s">
        <v>698</v>
      </c>
      <c r="D52" s="1" t="s">
        <v>698</v>
      </c>
      <c r="E52" s="1" t="s">
        <v>698</v>
      </c>
      <c r="F52" s="1" t="s">
        <v>698</v>
      </c>
      <c r="G52" s="1" t="s">
        <v>698</v>
      </c>
      <c r="H52" s="1" t="s">
        <v>698</v>
      </c>
      <c r="I52" s="1" t="s">
        <v>698</v>
      </c>
      <c r="J52" s="1">
        <f t="shared" si="4"/>
        <v>1</v>
      </c>
      <c r="L52" s="1" t="s">
        <v>723</v>
      </c>
      <c r="M52" s="7">
        <v>49</v>
      </c>
      <c r="N52" s="6" t="s">
        <v>116</v>
      </c>
      <c r="O52" s="3" t="s">
        <v>117</v>
      </c>
      <c r="P52" s="3" t="s">
        <v>14</v>
      </c>
      <c r="Q52" s="10">
        <v>16</v>
      </c>
      <c r="R52" s="43">
        <f>VLOOKUP('11'!O52,Malzemeler!C:D,2,0)</f>
        <v>2.17</v>
      </c>
      <c r="S52" s="43">
        <f t="shared" si="5"/>
        <v>34.72</v>
      </c>
    </row>
    <row r="53" spans="2:19" x14ac:dyDescent="0.35">
      <c r="B53" s="1">
        <v>11</v>
      </c>
      <c r="C53" s="1" t="s">
        <v>698</v>
      </c>
      <c r="D53" s="1" t="s">
        <v>698</v>
      </c>
      <c r="E53" s="1" t="s">
        <v>698</v>
      </c>
      <c r="F53" s="1" t="s">
        <v>698</v>
      </c>
      <c r="G53" s="1" t="s">
        <v>698</v>
      </c>
      <c r="H53" s="1" t="s">
        <v>698</v>
      </c>
      <c r="I53" s="1" t="s">
        <v>698</v>
      </c>
      <c r="J53" s="1">
        <f t="shared" si="4"/>
        <v>1</v>
      </c>
      <c r="L53" s="1" t="s">
        <v>723</v>
      </c>
      <c r="M53" s="7">
        <v>50</v>
      </c>
      <c r="N53" s="6" t="s">
        <v>118</v>
      </c>
      <c r="O53" s="3" t="s">
        <v>119</v>
      </c>
      <c r="P53" s="3" t="s">
        <v>14</v>
      </c>
      <c r="Q53" s="11">
        <v>8</v>
      </c>
      <c r="R53" s="43">
        <f>VLOOKUP('11'!O53,Malzemeler!C:D,2,0)</f>
        <v>0.03</v>
      </c>
      <c r="S53" s="43">
        <f t="shared" si="5"/>
        <v>0.24</v>
      </c>
    </row>
    <row r="54" spans="2:19" x14ac:dyDescent="0.35">
      <c r="B54" s="1">
        <v>11</v>
      </c>
      <c r="C54" s="1" t="s">
        <v>698</v>
      </c>
      <c r="D54" s="1" t="s">
        <v>698</v>
      </c>
      <c r="E54" s="1" t="s">
        <v>698</v>
      </c>
      <c r="F54" s="1" t="s">
        <v>698</v>
      </c>
      <c r="G54" s="1" t="s">
        <v>698</v>
      </c>
      <c r="H54" s="1" t="s">
        <v>698</v>
      </c>
      <c r="I54" s="1" t="s">
        <v>698</v>
      </c>
      <c r="J54" s="1">
        <f t="shared" si="4"/>
        <v>1</v>
      </c>
      <c r="L54" s="1" t="s">
        <v>723</v>
      </c>
      <c r="M54" s="7">
        <v>51</v>
      </c>
      <c r="N54" s="1" t="s">
        <v>120</v>
      </c>
      <c r="O54" s="3" t="s">
        <v>121</v>
      </c>
      <c r="P54" s="3" t="s">
        <v>14</v>
      </c>
      <c r="Q54" s="3">
        <v>8</v>
      </c>
      <c r="R54" s="43">
        <f>VLOOKUP('11'!O54,Malzemeler!C:D,2,0)</f>
        <v>0.5</v>
      </c>
      <c r="S54" s="43">
        <f t="shared" si="5"/>
        <v>4</v>
      </c>
    </row>
    <row r="55" spans="2:19" x14ac:dyDescent="0.35">
      <c r="B55" s="1">
        <v>11</v>
      </c>
      <c r="C55" s="1" t="s">
        <v>698</v>
      </c>
      <c r="D55" s="1" t="s">
        <v>698</v>
      </c>
      <c r="E55" s="1" t="s">
        <v>698</v>
      </c>
      <c r="F55" s="1" t="s">
        <v>698</v>
      </c>
      <c r="G55" s="1" t="s">
        <v>698</v>
      </c>
      <c r="H55" s="1" t="s">
        <v>698</v>
      </c>
      <c r="I55" s="1" t="s">
        <v>698</v>
      </c>
      <c r="J55" s="1">
        <f t="shared" si="4"/>
        <v>1</v>
      </c>
      <c r="L55" s="1" t="s">
        <v>723</v>
      </c>
      <c r="M55" s="7">
        <v>52</v>
      </c>
      <c r="N55" s="1" t="s">
        <v>122</v>
      </c>
      <c r="O55" s="3" t="s">
        <v>123</v>
      </c>
      <c r="P55" s="3" t="s">
        <v>14</v>
      </c>
      <c r="Q55" s="3">
        <v>1</v>
      </c>
      <c r="R55" s="43">
        <f>VLOOKUP('11'!O55,Malzemeler!C:D,2,0)</f>
        <v>0.13</v>
      </c>
      <c r="S55" s="43">
        <f t="shared" si="5"/>
        <v>0.13</v>
      </c>
    </row>
    <row r="56" spans="2:19" x14ac:dyDescent="0.35">
      <c r="B56" s="1">
        <v>11</v>
      </c>
      <c r="C56" s="1" t="s">
        <v>698</v>
      </c>
      <c r="D56" s="1" t="s">
        <v>698</v>
      </c>
      <c r="E56" s="1" t="s">
        <v>698</v>
      </c>
      <c r="F56" s="1" t="s">
        <v>698</v>
      </c>
      <c r="G56" s="1" t="s">
        <v>698</v>
      </c>
      <c r="H56" s="1" t="s">
        <v>698</v>
      </c>
      <c r="I56" s="1" t="s">
        <v>698</v>
      </c>
      <c r="J56" s="1">
        <f t="shared" si="4"/>
        <v>1</v>
      </c>
      <c r="L56" s="1" t="s">
        <v>723</v>
      </c>
      <c r="M56" s="7">
        <v>53</v>
      </c>
      <c r="N56" s="1" t="s">
        <v>604</v>
      </c>
      <c r="O56" s="3" t="s">
        <v>606</v>
      </c>
      <c r="P56" s="3" t="s">
        <v>14</v>
      </c>
      <c r="Q56" s="3">
        <v>2</v>
      </c>
      <c r="R56" s="43">
        <f>VLOOKUP('11'!O56,Malzemeler!C:D,2,0)</f>
        <v>0</v>
      </c>
      <c r="S56" s="43">
        <f t="shared" si="5"/>
        <v>0</v>
      </c>
    </row>
    <row r="57" spans="2:19" x14ac:dyDescent="0.35">
      <c r="B57" s="1">
        <v>11</v>
      </c>
      <c r="C57" s="1" t="s">
        <v>698</v>
      </c>
      <c r="D57" s="1" t="s">
        <v>698</v>
      </c>
      <c r="E57" s="1" t="s">
        <v>698</v>
      </c>
      <c r="F57" s="1" t="s">
        <v>698</v>
      </c>
      <c r="G57" s="1" t="s">
        <v>698</v>
      </c>
      <c r="H57" s="1" t="s">
        <v>698</v>
      </c>
      <c r="I57" s="1" t="s">
        <v>698</v>
      </c>
      <c r="J57" s="1">
        <f t="shared" si="4"/>
        <v>1</v>
      </c>
      <c r="L57" s="1" t="s">
        <v>723</v>
      </c>
      <c r="M57" s="7">
        <v>54</v>
      </c>
      <c r="N57" s="1" t="s">
        <v>558</v>
      </c>
      <c r="O57" s="3" t="s">
        <v>742</v>
      </c>
      <c r="P57" s="3" t="s">
        <v>14</v>
      </c>
      <c r="Q57" s="2">
        <v>1</v>
      </c>
      <c r="R57" s="43">
        <f>VLOOKUP('11'!O57,Malzemeler!C:D,2,0)</f>
        <v>0.95</v>
      </c>
      <c r="S57" s="43">
        <f t="shared" si="5"/>
        <v>0.95</v>
      </c>
    </row>
    <row r="58" spans="2:19" x14ac:dyDescent="0.35">
      <c r="B58" s="1">
        <v>11</v>
      </c>
      <c r="C58" s="1" t="s">
        <v>698</v>
      </c>
      <c r="D58" s="1" t="s">
        <v>698</v>
      </c>
      <c r="E58" s="1" t="s">
        <v>698</v>
      </c>
      <c r="F58" s="1" t="s">
        <v>698</v>
      </c>
      <c r="G58" s="1" t="s">
        <v>698</v>
      </c>
      <c r="H58" s="1" t="s">
        <v>698</v>
      </c>
      <c r="I58" s="1" t="s">
        <v>698</v>
      </c>
      <c r="J58" s="1">
        <f t="shared" si="4"/>
        <v>1</v>
      </c>
      <c r="L58" s="1" t="s">
        <v>723</v>
      </c>
      <c r="M58" s="7">
        <v>55</v>
      </c>
      <c r="N58" s="1" t="s">
        <v>557</v>
      </c>
      <c r="O58" s="3" t="s">
        <v>555</v>
      </c>
      <c r="P58" s="3" t="s">
        <v>14</v>
      </c>
      <c r="Q58" s="2">
        <v>1</v>
      </c>
      <c r="R58" s="43">
        <f>VLOOKUP('11'!O58,Malzemeler!C:D,2,0)</f>
        <v>1.32</v>
      </c>
      <c r="S58" s="43">
        <f t="shared" si="5"/>
        <v>1.32</v>
      </c>
    </row>
    <row r="59" spans="2:19" x14ac:dyDescent="0.35">
      <c r="B59" s="1">
        <v>11</v>
      </c>
      <c r="C59" s="1" t="s">
        <v>698</v>
      </c>
      <c r="D59" s="1" t="s">
        <v>698</v>
      </c>
      <c r="E59" s="1" t="s">
        <v>698</v>
      </c>
      <c r="F59" s="1" t="s">
        <v>698</v>
      </c>
      <c r="G59" s="1" t="s">
        <v>698</v>
      </c>
      <c r="H59" s="1" t="s">
        <v>698</v>
      </c>
      <c r="I59" s="1" t="s">
        <v>698</v>
      </c>
      <c r="J59" s="1">
        <f t="shared" si="4"/>
        <v>1</v>
      </c>
      <c r="L59" s="1" t="s">
        <v>723</v>
      </c>
      <c r="M59" s="7">
        <v>56</v>
      </c>
      <c r="N59" s="1" t="s">
        <v>556</v>
      </c>
      <c r="O59" s="3" t="s">
        <v>743</v>
      </c>
      <c r="P59" s="3" t="s">
        <v>14</v>
      </c>
      <c r="Q59" s="2">
        <v>1</v>
      </c>
      <c r="R59" s="43">
        <f>VLOOKUP('11'!O59,Malzemeler!C:D,2,0)</f>
        <v>0.73</v>
      </c>
      <c r="S59" s="43">
        <f t="shared" si="5"/>
        <v>0.73</v>
      </c>
    </row>
    <row r="60" spans="2:19" x14ac:dyDescent="0.35">
      <c r="B60" s="1">
        <v>11</v>
      </c>
      <c r="C60" s="1" t="s">
        <v>698</v>
      </c>
      <c r="D60" s="1" t="s">
        <v>698</v>
      </c>
      <c r="E60" s="1" t="s">
        <v>698</v>
      </c>
      <c r="F60" s="1" t="s">
        <v>698</v>
      </c>
      <c r="G60" s="1" t="s">
        <v>698</v>
      </c>
      <c r="H60" s="1" t="s">
        <v>698</v>
      </c>
      <c r="I60" s="1" t="s">
        <v>698</v>
      </c>
      <c r="J60" s="1">
        <f t="shared" si="4"/>
        <v>1</v>
      </c>
      <c r="L60" s="1" t="s">
        <v>722</v>
      </c>
      <c r="M60" s="7">
        <v>57</v>
      </c>
      <c r="N60" s="1" t="s">
        <v>27</v>
      </c>
      <c r="O60" s="3" t="s">
        <v>28</v>
      </c>
      <c r="P60" s="3" t="s">
        <v>14</v>
      </c>
      <c r="Q60" s="3">
        <v>1</v>
      </c>
      <c r="R60" s="43">
        <f>VLOOKUP('11'!O60,Malzemeler!C:D,2,0)</f>
        <v>4.76</v>
      </c>
      <c r="S60" s="43">
        <f t="shared" si="5"/>
        <v>4.76</v>
      </c>
    </row>
    <row r="61" spans="2:19" x14ac:dyDescent="0.35">
      <c r="B61" s="1">
        <v>11</v>
      </c>
      <c r="C61" s="1" t="s">
        <v>698</v>
      </c>
      <c r="D61" s="1" t="s">
        <v>698</v>
      </c>
      <c r="E61" s="1" t="s">
        <v>698</v>
      </c>
      <c r="F61" s="1" t="s">
        <v>698</v>
      </c>
      <c r="G61" s="1" t="s">
        <v>698</v>
      </c>
      <c r="H61" s="1" t="s">
        <v>698</v>
      </c>
      <c r="I61" s="1" t="s">
        <v>698</v>
      </c>
      <c r="J61" s="1">
        <f t="shared" si="4"/>
        <v>1</v>
      </c>
      <c r="L61" s="1" t="s">
        <v>722</v>
      </c>
      <c r="M61" s="7">
        <v>58</v>
      </c>
      <c r="N61" s="1" t="s">
        <v>29</v>
      </c>
      <c r="O61" s="3" t="s">
        <v>30</v>
      </c>
      <c r="P61" s="3" t="s">
        <v>14</v>
      </c>
      <c r="Q61" s="2">
        <v>1</v>
      </c>
      <c r="R61" s="43">
        <f>VLOOKUP('11'!O61,Malzemeler!C:D,2,0)</f>
        <v>4.76</v>
      </c>
      <c r="S61" s="43">
        <f t="shared" si="5"/>
        <v>4.76</v>
      </c>
    </row>
    <row r="62" spans="2:19" x14ac:dyDescent="0.35">
      <c r="B62" s="1">
        <v>11</v>
      </c>
      <c r="C62" s="1" t="s">
        <v>698</v>
      </c>
      <c r="D62" s="1" t="s">
        <v>698</v>
      </c>
      <c r="E62" s="1" t="s">
        <v>698</v>
      </c>
      <c r="F62" s="1" t="s">
        <v>698</v>
      </c>
      <c r="G62" s="1" t="s">
        <v>698</v>
      </c>
      <c r="H62" s="1" t="s">
        <v>698</v>
      </c>
      <c r="I62" s="1" t="s">
        <v>698</v>
      </c>
      <c r="J62" s="1">
        <f t="shared" si="4"/>
        <v>1</v>
      </c>
      <c r="L62" s="1" t="s">
        <v>722</v>
      </c>
      <c r="M62" s="7">
        <v>59</v>
      </c>
      <c r="N62" s="1" t="s">
        <v>174</v>
      </c>
      <c r="O62" s="3" t="s">
        <v>539</v>
      </c>
      <c r="P62" s="3" t="s">
        <v>14</v>
      </c>
      <c r="Q62" s="3">
        <v>1</v>
      </c>
      <c r="R62" s="43">
        <f>VLOOKUP('11'!O62,Malzemeler!C:D,2,0)</f>
        <v>0</v>
      </c>
      <c r="S62" s="43">
        <f t="shared" si="5"/>
        <v>0</v>
      </c>
    </row>
    <row r="63" spans="2:19" x14ac:dyDescent="0.35">
      <c r="B63" s="1">
        <v>11</v>
      </c>
      <c r="C63" s="1" t="s">
        <v>698</v>
      </c>
      <c r="D63" s="1" t="s">
        <v>698</v>
      </c>
      <c r="E63" s="1" t="s">
        <v>698</v>
      </c>
      <c r="F63" s="1" t="s">
        <v>698</v>
      </c>
      <c r="G63" s="1" t="s">
        <v>698</v>
      </c>
      <c r="H63" s="1" t="s">
        <v>698</v>
      </c>
      <c r="I63" s="1" t="s">
        <v>698</v>
      </c>
      <c r="J63" s="1">
        <f t="shared" si="4"/>
        <v>1</v>
      </c>
      <c r="L63" s="1" t="s">
        <v>722</v>
      </c>
      <c r="M63" s="7">
        <v>60</v>
      </c>
      <c r="N63" s="1" t="s">
        <v>25</v>
      </c>
      <c r="O63" s="3" t="s">
        <v>26</v>
      </c>
      <c r="P63" s="3" t="s">
        <v>14</v>
      </c>
      <c r="Q63" s="3">
        <v>1</v>
      </c>
      <c r="R63" s="43">
        <f>VLOOKUP('11'!O63,Malzemeler!C:D,2,0)</f>
        <v>40.53</v>
      </c>
      <c r="S63" s="43">
        <f t="shared" si="5"/>
        <v>40.53</v>
      </c>
    </row>
    <row r="64" spans="2:19" x14ac:dyDescent="0.35">
      <c r="B64" s="1">
        <v>11</v>
      </c>
      <c r="C64" s="1" t="s">
        <v>698</v>
      </c>
      <c r="D64" s="1" t="s">
        <v>698</v>
      </c>
      <c r="E64" s="1" t="s">
        <v>698</v>
      </c>
      <c r="F64" s="1" t="s">
        <v>698</v>
      </c>
      <c r="G64" s="1" t="s">
        <v>698</v>
      </c>
      <c r="H64" s="1" t="s">
        <v>698</v>
      </c>
      <c r="I64" s="1" t="s">
        <v>698</v>
      </c>
      <c r="J64" s="1">
        <f t="shared" si="4"/>
        <v>1</v>
      </c>
      <c r="L64" s="1" t="s">
        <v>722</v>
      </c>
      <c r="M64" s="7">
        <v>61</v>
      </c>
      <c r="N64" s="1" t="s">
        <v>49</v>
      </c>
      <c r="O64" s="3" t="s">
        <v>50</v>
      </c>
      <c r="P64" s="3" t="s">
        <v>14</v>
      </c>
      <c r="Q64" s="3">
        <v>1</v>
      </c>
      <c r="R64" s="43">
        <f>VLOOKUP('11'!O64,Malzemeler!C:D,2,0)</f>
        <v>46.47</v>
      </c>
      <c r="S64" s="43">
        <f t="shared" si="5"/>
        <v>46.47</v>
      </c>
    </row>
    <row r="65" spans="2:19" x14ac:dyDescent="0.35">
      <c r="B65" s="1">
        <v>11</v>
      </c>
      <c r="C65" s="1" t="s">
        <v>698</v>
      </c>
      <c r="D65" s="1" t="s">
        <v>698</v>
      </c>
      <c r="E65" s="1" t="s">
        <v>698</v>
      </c>
      <c r="F65" s="1" t="s">
        <v>698</v>
      </c>
      <c r="G65" s="1" t="s">
        <v>698</v>
      </c>
      <c r="H65" s="1" t="s">
        <v>698</v>
      </c>
      <c r="I65" s="1" t="s">
        <v>698</v>
      </c>
      <c r="J65" s="1">
        <f t="shared" si="4"/>
        <v>1</v>
      </c>
      <c r="L65" s="1" t="s">
        <v>722</v>
      </c>
      <c r="M65" s="7">
        <v>62</v>
      </c>
      <c r="N65" s="1" t="s">
        <v>51</v>
      </c>
      <c r="O65" s="3" t="s">
        <v>52</v>
      </c>
      <c r="P65" s="3" t="s">
        <v>14</v>
      </c>
      <c r="Q65" s="3">
        <v>1</v>
      </c>
      <c r="R65" s="43">
        <f>VLOOKUP('11'!O65,Malzemeler!C:D,2,0)</f>
        <v>74.48</v>
      </c>
      <c r="S65" s="43">
        <f t="shared" si="5"/>
        <v>74.48</v>
      </c>
    </row>
    <row r="66" spans="2:19" x14ac:dyDescent="0.35">
      <c r="B66" s="1">
        <v>11</v>
      </c>
      <c r="C66" s="1" t="s">
        <v>698</v>
      </c>
      <c r="D66" s="1" t="s">
        <v>698</v>
      </c>
      <c r="E66" s="1" t="s">
        <v>698</v>
      </c>
      <c r="F66" s="1" t="s">
        <v>698</v>
      </c>
      <c r="G66" s="1" t="s">
        <v>698</v>
      </c>
      <c r="H66" s="1" t="s">
        <v>698</v>
      </c>
      <c r="I66" s="1" t="s">
        <v>698</v>
      </c>
      <c r="J66" s="1">
        <f t="shared" si="4"/>
        <v>1</v>
      </c>
      <c r="L66" s="1" t="s">
        <v>722</v>
      </c>
      <c r="M66" s="7">
        <v>63</v>
      </c>
      <c r="N66" s="1" t="s">
        <v>31</v>
      </c>
      <c r="O66" s="3" t="s">
        <v>32</v>
      </c>
      <c r="P66" s="3" t="s">
        <v>14</v>
      </c>
      <c r="Q66" s="3">
        <v>1</v>
      </c>
      <c r="R66" s="43">
        <f>VLOOKUP('11'!O66,Malzemeler!C:D,2,0)</f>
        <v>675.52</v>
      </c>
      <c r="S66" s="43">
        <f t="shared" si="5"/>
        <v>675.52</v>
      </c>
    </row>
    <row r="67" spans="2:19" x14ac:dyDescent="0.35">
      <c r="B67" s="1">
        <v>11</v>
      </c>
      <c r="C67" s="1" t="s">
        <v>698</v>
      </c>
      <c r="D67" s="1" t="s">
        <v>698</v>
      </c>
      <c r="E67" s="1" t="s">
        <v>698</v>
      </c>
      <c r="F67" s="1" t="s">
        <v>698</v>
      </c>
      <c r="G67" s="1" t="s">
        <v>698</v>
      </c>
      <c r="H67" s="1" t="s">
        <v>698</v>
      </c>
      <c r="I67" s="1" t="s">
        <v>698</v>
      </c>
      <c r="J67" s="1">
        <f t="shared" si="4"/>
        <v>1</v>
      </c>
      <c r="L67" s="1" t="s">
        <v>722</v>
      </c>
      <c r="M67" s="7">
        <v>64</v>
      </c>
      <c r="N67" s="1" t="s">
        <v>33</v>
      </c>
      <c r="O67" s="3" t="s">
        <v>34</v>
      </c>
      <c r="P67" s="3" t="s">
        <v>14</v>
      </c>
      <c r="Q67" s="3">
        <v>1</v>
      </c>
      <c r="R67" s="43">
        <f>VLOOKUP('11'!O67,Malzemeler!C:D,2,0)</f>
        <v>23.17</v>
      </c>
      <c r="S67" s="43">
        <f t="shared" si="5"/>
        <v>23.17</v>
      </c>
    </row>
    <row r="68" spans="2:19" x14ac:dyDescent="0.35">
      <c r="B68" s="1">
        <v>11</v>
      </c>
      <c r="C68" s="1" t="s">
        <v>698</v>
      </c>
      <c r="D68" s="1" t="s">
        <v>698</v>
      </c>
      <c r="E68" s="1" t="s">
        <v>698</v>
      </c>
      <c r="F68" s="1" t="s">
        <v>698</v>
      </c>
      <c r="G68" s="1" t="s">
        <v>698</v>
      </c>
      <c r="H68" s="1" t="s">
        <v>698</v>
      </c>
      <c r="I68" s="1" t="s">
        <v>698</v>
      </c>
      <c r="J68" s="1">
        <f t="shared" ref="J68:J84" si="6">SUBTOTAL(103,B68)</f>
        <v>1</v>
      </c>
      <c r="L68" s="1" t="s">
        <v>722</v>
      </c>
      <c r="M68" s="7">
        <v>65</v>
      </c>
      <c r="N68" s="1" t="s">
        <v>35</v>
      </c>
      <c r="O68" s="3" t="s">
        <v>36</v>
      </c>
      <c r="P68" s="3" t="s">
        <v>14</v>
      </c>
      <c r="Q68" s="3">
        <v>1</v>
      </c>
      <c r="R68" s="43">
        <f>VLOOKUP('11'!O68,Malzemeler!C:D,2,0)</f>
        <v>130.16</v>
      </c>
      <c r="S68" s="43">
        <f t="shared" ref="S68:S90" si="7">+R68*Q68</f>
        <v>130.16</v>
      </c>
    </row>
    <row r="69" spans="2:19" x14ac:dyDescent="0.35">
      <c r="B69" s="1">
        <v>11</v>
      </c>
      <c r="C69" s="1" t="s">
        <v>698</v>
      </c>
      <c r="D69" s="1" t="s">
        <v>698</v>
      </c>
      <c r="E69" s="1" t="s">
        <v>698</v>
      </c>
      <c r="F69" s="1" t="s">
        <v>698</v>
      </c>
      <c r="G69" s="1" t="s">
        <v>698</v>
      </c>
      <c r="H69" s="1" t="s">
        <v>698</v>
      </c>
      <c r="I69" s="1" t="s">
        <v>698</v>
      </c>
      <c r="J69" s="1">
        <f t="shared" si="6"/>
        <v>1</v>
      </c>
      <c r="L69" s="1" t="s">
        <v>722</v>
      </c>
      <c r="M69" s="7">
        <v>66</v>
      </c>
      <c r="N69" s="1" t="s">
        <v>37</v>
      </c>
      <c r="O69" s="3" t="s">
        <v>38</v>
      </c>
      <c r="P69" s="3" t="s">
        <v>14</v>
      </c>
      <c r="Q69" s="3">
        <v>1</v>
      </c>
      <c r="R69" s="43">
        <f>VLOOKUP('11'!O69,Malzemeler!C:D,2,0)</f>
        <v>130.16</v>
      </c>
      <c r="S69" s="43">
        <f t="shared" si="7"/>
        <v>130.16</v>
      </c>
    </row>
    <row r="70" spans="2:19" x14ac:dyDescent="0.35">
      <c r="B70" s="1">
        <v>11</v>
      </c>
      <c r="C70" s="1" t="s">
        <v>698</v>
      </c>
      <c r="D70" s="1" t="s">
        <v>698</v>
      </c>
      <c r="E70" s="1" t="s">
        <v>698</v>
      </c>
      <c r="F70" s="1" t="s">
        <v>698</v>
      </c>
      <c r="G70" s="1" t="s">
        <v>698</v>
      </c>
      <c r="H70" s="1" t="s">
        <v>698</v>
      </c>
      <c r="I70" s="1" t="s">
        <v>698</v>
      </c>
      <c r="J70" s="1">
        <f t="shared" si="6"/>
        <v>1</v>
      </c>
      <c r="L70" s="1" t="s">
        <v>722</v>
      </c>
      <c r="M70" s="7">
        <v>67</v>
      </c>
      <c r="N70" s="1" t="s">
        <v>39</v>
      </c>
      <c r="O70" s="3" t="s">
        <v>40</v>
      </c>
      <c r="P70" s="3" t="s">
        <v>14</v>
      </c>
      <c r="Q70" s="3">
        <v>2</v>
      </c>
      <c r="R70" s="43">
        <f>VLOOKUP('11'!O70,Malzemeler!C:D,2,0)</f>
        <v>4.7300000000000004</v>
      </c>
      <c r="S70" s="43">
        <f t="shared" si="7"/>
        <v>9.4600000000000009</v>
      </c>
    </row>
    <row r="71" spans="2:19" x14ac:dyDescent="0.35">
      <c r="B71" s="1">
        <v>11</v>
      </c>
      <c r="C71" s="1" t="s">
        <v>698</v>
      </c>
      <c r="D71" s="1" t="s">
        <v>698</v>
      </c>
      <c r="E71" s="1" t="s">
        <v>698</v>
      </c>
      <c r="F71" s="1" t="s">
        <v>698</v>
      </c>
      <c r="G71" s="1" t="s">
        <v>698</v>
      </c>
      <c r="H71" s="1" t="s">
        <v>698</v>
      </c>
      <c r="I71" s="1" t="s">
        <v>698</v>
      </c>
      <c r="J71" s="1">
        <f t="shared" si="6"/>
        <v>1</v>
      </c>
      <c r="L71" s="1" t="s">
        <v>722</v>
      </c>
      <c r="M71" s="7">
        <v>68</v>
      </c>
      <c r="N71" s="1" t="s">
        <v>41</v>
      </c>
      <c r="O71" s="3" t="s">
        <v>42</v>
      </c>
      <c r="P71" s="3" t="s">
        <v>14</v>
      </c>
      <c r="Q71" s="3">
        <v>2</v>
      </c>
      <c r="R71" s="43">
        <f>VLOOKUP('11'!O71,Malzemeler!C:D,2,0)</f>
        <v>155.05000000000001</v>
      </c>
      <c r="S71" s="43">
        <f t="shared" si="7"/>
        <v>310.10000000000002</v>
      </c>
    </row>
    <row r="72" spans="2:19" x14ac:dyDescent="0.35">
      <c r="B72" s="1">
        <v>11</v>
      </c>
      <c r="C72" s="1" t="s">
        <v>698</v>
      </c>
      <c r="D72" s="1" t="s">
        <v>698</v>
      </c>
      <c r="E72" s="1" t="s">
        <v>698</v>
      </c>
      <c r="F72" s="1" t="s">
        <v>698</v>
      </c>
      <c r="G72" s="1" t="s">
        <v>698</v>
      </c>
      <c r="H72" s="1" t="s">
        <v>698</v>
      </c>
      <c r="I72" s="1" t="s">
        <v>698</v>
      </c>
      <c r="J72" s="1">
        <f t="shared" si="6"/>
        <v>1</v>
      </c>
      <c r="L72" s="1" t="s">
        <v>722</v>
      </c>
      <c r="M72" s="7">
        <v>69</v>
      </c>
      <c r="N72" s="1" t="s">
        <v>43</v>
      </c>
      <c r="O72" s="3" t="s">
        <v>44</v>
      </c>
      <c r="P72" s="3" t="s">
        <v>14</v>
      </c>
      <c r="Q72" s="3">
        <v>1</v>
      </c>
      <c r="R72" s="43">
        <f>VLOOKUP('11'!O72,Malzemeler!C:D,2,0)</f>
        <v>238.61</v>
      </c>
      <c r="S72" s="43">
        <f t="shared" si="7"/>
        <v>238.61</v>
      </c>
    </row>
    <row r="73" spans="2:19" x14ac:dyDescent="0.35">
      <c r="B73" s="1">
        <v>11</v>
      </c>
      <c r="C73" s="1" t="s">
        <v>698</v>
      </c>
      <c r="D73" s="1" t="s">
        <v>698</v>
      </c>
      <c r="E73" s="1" t="s">
        <v>698</v>
      </c>
      <c r="F73" s="1" t="s">
        <v>698</v>
      </c>
      <c r="G73" s="1" t="s">
        <v>698</v>
      </c>
      <c r="H73" s="1" t="s">
        <v>698</v>
      </c>
      <c r="I73" s="1" t="s">
        <v>698</v>
      </c>
      <c r="J73" s="1">
        <f t="shared" si="6"/>
        <v>1</v>
      </c>
      <c r="L73" s="1" t="s">
        <v>722</v>
      </c>
      <c r="M73" s="7">
        <v>70</v>
      </c>
      <c r="N73" s="1" t="s">
        <v>45</v>
      </c>
      <c r="O73" s="3" t="s">
        <v>46</v>
      </c>
      <c r="P73" s="3" t="s">
        <v>14</v>
      </c>
      <c r="Q73" s="3">
        <v>1</v>
      </c>
      <c r="R73" s="43">
        <f>VLOOKUP('11'!O73,Malzemeler!C:D,2,0)</f>
        <v>10.84</v>
      </c>
      <c r="S73" s="43">
        <f t="shared" si="7"/>
        <v>10.84</v>
      </c>
    </row>
    <row r="74" spans="2:19" x14ac:dyDescent="0.35">
      <c r="B74" s="1">
        <v>11</v>
      </c>
      <c r="C74" s="1" t="s">
        <v>698</v>
      </c>
      <c r="D74" s="1" t="s">
        <v>698</v>
      </c>
      <c r="E74" s="1" t="s">
        <v>698</v>
      </c>
      <c r="F74" s="1" t="s">
        <v>698</v>
      </c>
      <c r="G74" s="1" t="s">
        <v>698</v>
      </c>
      <c r="H74" s="1" t="s">
        <v>698</v>
      </c>
      <c r="I74" s="1" t="s">
        <v>698</v>
      </c>
      <c r="J74" s="1">
        <f t="shared" si="6"/>
        <v>1</v>
      </c>
      <c r="L74" s="1" t="s">
        <v>722</v>
      </c>
      <c r="M74" s="7">
        <v>71</v>
      </c>
      <c r="N74" s="1" t="s">
        <v>47</v>
      </c>
      <c r="O74" s="3" t="s">
        <v>48</v>
      </c>
      <c r="P74" s="3" t="s">
        <v>14</v>
      </c>
      <c r="Q74" s="3">
        <v>1</v>
      </c>
      <c r="R74" s="43">
        <f>VLOOKUP('11'!O74,Malzemeler!C:D,2,0)</f>
        <v>22.83</v>
      </c>
      <c r="S74" s="43">
        <f t="shared" si="7"/>
        <v>22.83</v>
      </c>
    </row>
    <row r="75" spans="2:19" x14ac:dyDescent="0.35">
      <c r="B75" s="1">
        <v>11</v>
      </c>
      <c r="C75" s="1" t="s">
        <v>698</v>
      </c>
      <c r="D75" s="1" t="s">
        <v>698</v>
      </c>
      <c r="E75" s="1" t="s">
        <v>698</v>
      </c>
      <c r="F75" s="1" t="s">
        <v>698</v>
      </c>
      <c r="G75" s="1" t="s">
        <v>698</v>
      </c>
      <c r="H75" s="1" t="s">
        <v>698</v>
      </c>
      <c r="I75" s="1" t="s">
        <v>698</v>
      </c>
      <c r="J75" s="1">
        <f t="shared" si="6"/>
        <v>1</v>
      </c>
      <c r="L75" s="1" t="s">
        <v>722</v>
      </c>
      <c r="M75" s="7">
        <v>72</v>
      </c>
      <c r="N75" s="5" t="s">
        <v>678</v>
      </c>
      <c r="O75" s="3" t="s">
        <v>679</v>
      </c>
      <c r="P75" s="3" t="s">
        <v>14</v>
      </c>
      <c r="Q75" s="3">
        <v>1</v>
      </c>
      <c r="R75" s="43">
        <f>VLOOKUP('11'!O75,Malzemeler!C:D,2,0)</f>
        <v>0</v>
      </c>
      <c r="S75" s="43">
        <f t="shared" si="7"/>
        <v>0</v>
      </c>
    </row>
    <row r="76" spans="2:19" x14ac:dyDescent="0.35">
      <c r="B76" s="1">
        <v>11</v>
      </c>
      <c r="C76" s="1" t="s">
        <v>698</v>
      </c>
      <c r="D76" s="1" t="s">
        <v>698</v>
      </c>
      <c r="E76" s="1" t="s">
        <v>698</v>
      </c>
      <c r="F76" s="1" t="s">
        <v>698</v>
      </c>
      <c r="G76" s="1" t="s">
        <v>698</v>
      </c>
      <c r="H76" s="1" t="s">
        <v>698</v>
      </c>
      <c r="I76" s="1" t="s">
        <v>698</v>
      </c>
      <c r="J76" s="1">
        <f t="shared" si="6"/>
        <v>1</v>
      </c>
      <c r="L76" s="1" t="s">
        <v>722</v>
      </c>
      <c r="M76" s="7">
        <v>73</v>
      </c>
      <c r="N76" s="1" t="s">
        <v>593</v>
      </c>
      <c r="O76" s="3" t="s">
        <v>592</v>
      </c>
      <c r="P76" s="3" t="s">
        <v>14</v>
      </c>
      <c r="Q76" s="3">
        <v>1</v>
      </c>
      <c r="R76" s="43">
        <f>VLOOKUP('11'!O76,Malzemeler!C:D,2,0)</f>
        <v>0</v>
      </c>
      <c r="S76" s="43">
        <f t="shared" si="7"/>
        <v>0</v>
      </c>
    </row>
    <row r="77" spans="2:19" x14ac:dyDescent="0.35">
      <c r="B77" s="1">
        <v>11</v>
      </c>
      <c r="C77" s="1" t="s">
        <v>698</v>
      </c>
      <c r="D77" s="1" t="s">
        <v>698</v>
      </c>
      <c r="E77" s="1" t="s">
        <v>698</v>
      </c>
      <c r="F77" s="1" t="s">
        <v>698</v>
      </c>
      <c r="G77" s="1" t="s">
        <v>698</v>
      </c>
      <c r="H77" s="1" t="s">
        <v>698</v>
      </c>
      <c r="I77" s="1" t="s">
        <v>698</v>
      </c>
      <c r="J77" s="1">
        <f t="shared" si="6"/>
        <v>1</v>
      </c>
      <c r="L77" s="1" t="s">
        <v>722</v>
      </c>
      <c r="M77" s="7">
        <v>74</v>
      </c>
      <c r="N77" s="1" t="s">
        <v>594</v>
      </c>
      <c r="O77" s="3" t="s">
        <v>595</v>
      </c>
      <c r="P77" s="3" t="s">
        <v>14</v>
      </c>
      <c r="Q77" s="3">
        <v>1</v>
      </c>
      <c r="R77" s="43">
        <f>VLOOKUP('11'!O77,Malzemeler!C:D,2,0)</f>
        <v>0</v>
      </c>
      <c r="S77" s="43">
        <f t="shared" si="7"/>
        <v>0</v>
      </c>
    </row>
    <row r="78" spans="2:19" x14ac:dyDescent="0.35">
      <c r="B78" s="1">
        <v>11</v>
      </c>
      <c r="C78" s="1" t="s">
        <v>698</v>
      </c>
      <c r="D78" s="1" t="s">
        <v>698</v>
      </c>
      <c r="E78" s="1" t="s">
        <v>698</v>
      </c>
      <c r="F78" s="1" t="s">
        <v>698</v>
      </c>
      <c r="G78" s="1" t="s">
        <v>698</v>
      </c>
      <c r="H78" s="1" t="s">
        <v>698</v>
      </c>
      <c r="I78" s="1" t="s">
        <v>698</v>
      </c>
      <c r="J78" s="1">
        <f t="shared" si="6"/>
        <v>1</v>
      </c>
      <c r="L78" s="1" t="s">
        <v>722</v>
      </c>
      <c r="M78" s="7">
        <v>75</v>
      </c>
      <c r="N78" s="5" t="s">
        <v>598</v>
      </c>
      <c r="O78" s="3" t="s">
        <v>597</v>
      </c>
      <c r="P78" s="3" t="s">
        <v>14</v>
      </c>
      <c r="Q78" s="3">
        <v>2</v>
      </c>
      <c r="R78" s="43">
        <f>VLOOKUP('11'!O78,Malzemeler!C:D,2,0)</f>
        <v>0</v>
      </c>
      <c r="S78" s="43">
        <f t="shared" si="7"/>
        <v>0</v>
      </c>
    </row>
    <row r="79" spans="2:19" x14ac:dyDescent="0.35">
      <c r="B79" s="1">
        <v>11</v>
      </c>
      <c r="C79" s="1" t="s">
        <v>698</v>
      </c>
      <c r="D79" s="1" t="s">
        <v>698</v>
      </c>
      <c r="E79" s="1" t="s">
        <v>698</v>
      </c>
      <c r="F79" s="1" t="s">
        <v>698</v>
      </c>
      <c r="G79" s="1" t="s">
        <v>698</v>
      </c>
      <c r="H79" s="1" t="s">
        <v>698</v>
      </c>
      <c r="I79" s="1" t="s">
        <v>698</v>
      </c>
      <c r="J79" s="1">
        <f t="shared" si="6"/>
        <v>1</v>
      </c>
      <c r="L79" s="1" t="s">
        <v>722</v>
      </c>
      <c r="M79" s="7">
        <v>76</v>
      </c>
      <c r="N79" s="5" t="s">
        <v>147</v>
      </c>
      <c r="O79" s="3" t="s">
        <v>263</v>
      </c>
      <c r="P79" s="3" t="s">
        <v>14</v>
      </c>
      <c r="Q79" s="3">
        <v>1</v>
      </c>
      <c r="R79" s="43">
        <f>VLOOKUP('11'!O79,Malzemeler!C:D,2,0)</f>
        <v>20</v>
      </c>
      <c r="S79" s="43">
        <f t="shared" si="7"/>
        <v>20</v>
      </c>
    </row>
    <row r="80" spans="2:19" x14ac:dyDescent="0.35">
      <c r="B80" s="1">
        <v>11</v>
      </c>
      <c r="C80" s="1" t="s">
        <v>698</v>
      </c>
      <c r="D80" s="1" t="s">
        <v>698</v>
      </c>
      <c r="E80" s="1" t="s">
        <v>698</v>
      </c>
      <c r="F80" s="1" t="s">
        <v>698</v>
      </c>
      <c r="G80" s="1" t="s">
        <v>698</v>
      </c>
      <c r="H80" s="1" t="s">
        <v>698</v>
      </c>
      <c r="I80" s="1" t="s">
        <v>698</v>
      </c>
      <c r="J80" s="1">
        <f t="shared" si="6"/>
        <v>1</v>
      </c>
      <c r="L80" s="1" t="s">
        <v>722</v>
      </c>
      <c r="M80" s="7">
        <v>77</v>
      </c>
      <c r="N80" s="5" t="s">
        <v>53</v>
      </c>
      <c r="O80" s="3" t="s">
        <v>56</v>
      </c>
      <c r="P80" s="3" t="s">
        <v>14</v>
      </c>
      <c r="Q80" s="3">
        <v>3</v>
      </c>
      <c r="R80" s="43">
        <f>VLOOKUP('11'!O80,Malzemeler!C:D,2,0)</f>
        <v>65.58</v>
      </c>
      <c r="S80" s="43">
        <f t="shared" si="7"/>
        <v>196.74</v>
      </c>
    </row>
    <row r="81" spans="2:19" x14ac:dyDescent="0.35">
      <c r="B81" s="1">
        <v>11</v>
      </c>
      <c r="C81" s="1" t="s">
        <v>698</v>
      </c>
      <c r="D81" s="1" t="s">
        <v>698</v>
      </c>
      <c r="E81" s="1" t="s">
        <v>698</v>
      </c>
      <c r="F81" s="1" t="s">
        <v>698</v>
      </c>
      <c r="G81" s="1" t="s">
        <v>698</v>
      </c>
      <c r="H81" s="1" t="s">
        <v>698</v>
      </c>
      <c r="I81" s="1" t="s">
        <v>698</v>
      </c>
      <c r="J81" s="1">
        <f t="shared" si="6"/>
        <v>1</v>
      </c>
      <c r="L81" s="1" t="s">
        <v>722</v>
      </c>
      <c r="M81" s="7">
        <v>78</v>
      </c>
      <c r="N81" s="5" t="s">
        <v>589</v>
      </c>
      <c r="O81" s="3" t="s">
        <v>596</v>
      </c>
      <c r="P81" s="3" t="s">
        <v>14</v>
      </c>
      <c r="Q81" s="3">
        <v>1</v>
      </c>
      <c r="R81" s="43">
        <f>VLOOKUP('11'!O81,Malzemeler!C:D,2,0)</f>
        <v>59.21</v>
      </c>
      <c r="S81" s="43">
        <f t="shared" si="7"/>
        <v>59.21</v>
      </c>
    </row>
    <row r="82" spans="2:19" x14ac:dyDescent="0.35">
      <c r="B82" s="1">
        <v>11</v>
      </c>
      <c r="C82" s="1" t="s">
        <v>698</v>
      </c>
      <c r="D82" s="1" t="s">
        <v>698</v>
      </c>
      <c r="E82" s="1" t="s">
        <v>698</v>
      </c>
      <c r="F82" s="1" t="s">
        <v>698</v>
      </c>
      <c r="G82" s="1" t="s">
        <v>698</v>
      </c>
      <c r="H82" s="1" t="s">
        <v>698</v>
      </c>
      <c r="I82" s="1" t="s">
        <v>698</v>
      </c>
      <c r="J82" s="1">
        <f t="shared" si="6"/>
        <v>1</v>
      </c>
      <c r="L82" s="1" t="s">
        <v>722</v>
      </c>
      <c r="M82" s="7">
        <v>79</v>
      </c>
      <c r="N82" s="5" t="s">
        <v>54</v>
      </c>
      <c r="O82" s="3" t="s">
        <v>57</v>
      </c>
      <c r="P82" s="3" t="s">
        <v>14</v>
      </c>
      <c r="Q82" s="3">
        <v>1</v>
      </c>
      <c r="R82" s="43">
        <f>VLOOKUP('11'!O82,Malzemeler!C:D,2,0)</f>
        <v>77.55</v>
      </c>
      <c r="S82" s="43">
        <f t="shared" si="7"/>
        <v>77.55</v>
      </c>
    </row>
    <row r="83" spans="2:19" x14ac:dyDescent="0.35">
      <c r="B83" s="1">
        <v>11</v>
      </c>
      <c r="C83" s="1" t="s">
        <v>698</v>
      </c>
      <c r="D83" s="1" t="s">
        <v>698</v>
      </c>
      <c r="E83" s="1" t="s">
        <v>698</v>
      </c>
      <c r="F83" s="1" t="s">
        <v>698</v>
      </c>
      <c r="G83" s="1" t="s">
        <v>698</v>
      </c>
      <c r="H83" s="1" t="s">
        <v>698</v>
      </c>
      <c r="I83" s="1" t="s">
        <v>698</v>
      </c>
      <c r="J83" s="1">
        <f t="shared" si="6"/>
        <v>1</v>
      </c>
      <c r="L83" s="1" t="s">
        <v>722</v>
      </c>
      <c r="M83" s="7">
        <v>80</v>
      </c>
      <c r="N83" s="5" t="s">
        <v>58</v>
      </c>
      <c r="O83" s="3" t="s">
        <v>59</v>
      </c>
      <c r="P83" s="3" t="s">
        <v>14</v>
      </c>
      <c r="Q83" s="3">
        <v>1</v>
      </c>
      <c r="R83" s="43">
        <f>VLOOKUP('11'!O83,Malzemeler!C:D,2,0)</f>
        <v>54.45</v>
      </c>
      <c r="S83" s="43">
        <f t="shared" si="7"/>
        <v>54.45</v>
      </c>
    </row>
    <row r="84" spans="2:19" ht="15.6" customHeight="1" x14ac:dyDescent="0.35">
      <c r="B84" s="1">
        <v>11</v>
      </c>
      <c r="C84" s="1" t="s">
        <v>698</v>
      </c>
      <c r="D84" s="1" t="s">
        <v>698</v>
      </c>
      <c r="E84" s="1" t="s">
        <v>698</v>
      </c>
      <c r="F84" s="1" t="s">
        <v>698</v>
      </c>
      <c r="G84" s="1" t="s">
        <v>698</v>
      </c>
      <c r="H84" s="1" t="s">
        <v>698</v>
      </c>
      <c r="I84" s="1" t="s">
        <v>698</v>
      </c>
      <c r="J84" s="1">
        <f t="shared" si="6"/>
        <v>1</v>
      </c>
      <c r="L84" s="1" t="s">
        <v>722</v>
      </c>
      <c r="M84" s="7">
        <v>81</v>
      </c>
      <c r="N84" s="5" t="s">
        <v>177</v>
      </c>
      <c r="O84" s="3" t="s">
        <v>178</v>
      </c>
      <c r="P84" s="3" t="s">
        <v>14</v>
      </c>
      <c r="Q84" s="3">
        <v>2</v>
      </c>
      <c r="R84" s="43">
        <f>VLOOKUP('11'!O84,Malzemeler!C:D,2,0)</f>
        <v>0</v>
      </c>
      <c r="S84" s="43">
        <f t="shared" si="7"/>
        <v>0</v>
      </c>
    </row>
    <row r="85" spans="2:19" x14ac:dyDescent="0.35">
      <c r="B85" s="1">
        <v>11</v>
      </c>
      <c r="C85" s="1" t="s">
        <v>698</v>
      </c>
      <c r="D85" s="1" t="s">
        <v>698</v>
      </c>
      <c r="E85" s="1" t="s">
        <v>698</v>
      </c>
      <c r="F85" s="1" t="s">
        <v>698</v>
      </c>
      <c r="G85" s="1" t="s">
        <v>698</v>
      </c>
      <c r="H85" s="1" t="s">
        <v>698</v>
      </c>
      <c r="I85" s="1" t="s">
        <v>698</v>
      </c>
      <c r="J85" s="1">
        <f t="shared" ref="J85:J89" si="8">SUBTOTAL(103,B85)</f>
        <v>1</v>
      </c>
      <c r="L85" s="1" t="s">
        <v>722</v>
      </c>
      <c r="M85" s="7">
        <v>82</v>
      </c>
      <c r="N85" s="1" t="s">
        <v>680</v>
      </c>
      <c r="O85" s="3" t="s">
        <v>689</v>
      </c>
      <c r="P85" s="3" t="s">
        <v>14</v>
      </c>
      <c r="Q85" s="3">
        <v>1</v>
      </c>
      <c r="R85" s="43">
        <f>VLOOKUP('11'!O85,Malzemeler!C:D,2,0)</f>
        <v>0</v>
      </c>
      <c r="S85" s="43">
        <f t="shared" si="7"/>
        <v>0</v>
      </c>
    </row>
    <row r="86" spans="2:19" x14ac:dyDescent="0.35">
      <c r="B86" s="1">
        <v>11</v>
      </c>
      <c r="C86" s="1" t="s">
        <v>698</v>
      </c>
      <c r="D86" s="1" t="s">
        <v>698</v>
      </c>
      <c r="E86" s="1" t="s">
        <v>698</v>
      </c>
      <c r="F86" s="1" t="s">
        <v>698</v>
      </c>
      <c r="G86" s="1" t="s">
        <v>698</v>
      </c>
      <c r="H86" s="1" t="s">
        <v>698</v>
      </c>
      <c r="I86" s="1" t="s">
        <v>698</v>
      </c>
      <c r="J86" s="1">
        <f t="shared" si="8"/>
        <v>1</v>
      </c>
      <c r="L86" s="1" t="s">
        <v>722</v>
      </c>
      <c r="M86" s="7">
        <v>83</v>
      </c>
      <c r="N86" s="1" t="s">
        <v>624</v>
      </c>
      <c r="O86" s="3" t="s">
        <v>625</v>
      </c>
      <c r="P86" s="3" t="s">
        <v>14</v>
      </c>
      <c r="Q86" s="3">
        <v>1</v>
      </c>
      <c r="R86" s="43">
        <f>VLOOKUP('11'!O86,Malzemeler!C:D,2,0)</f>
        <v>0</v>
      </c>
      <c r="S86" s="43">
        <f t="shared" si="7"/>
        <v>0</v>
      </c>
    </row>
    <row r="87" spans="2:19" x14ac:dyDescent="0.35">
      <c r="B87" s="1">
        <v>11</v>
      </c>
      <c r="C87" s="1" t="s">
        <v>698</v>
      </c>
      <c r="D87" s="1" t="s">
        <v>698</v>
      </c>
      <c r="E87" s="1" t="s">
        <v>698</v>
      </c>
      <c r="F87" s="1" t="s">
        <v>698</v>
      </c>
      <c r="G87" s="1" t="s">
        <v>698</v>
      </c>
      <c r="H87" s="1" t="s">
        <v>698</v>
      </c>
      <c r="I87" s="1" t="s">
        <v>698</v>
      </c>
      <c r="J87" s="1">
        <f t="shared" si="8"/>
        <v>1</v>
      </c>
      <c r="L87" s="1" t="s">
        <v>722</v>
      </c>
      <c r="M87" s="7">
        <v>84</v>
      </c>
      <c r="N87" s="1" t="s">
        <v>750</v>
      </c>
      <c r="O87" s="3" t="s">
        <v>753</v>
      </c>
      <c r="P87" s="3" t="s">
        <v>135</v>
      </c>
      <c r="Q87" s="3">
        <v>21</v>
      </c>
      <c r="R87" s="43">
        <f>VLOOKUP('11'!O87,Malzemeler!C:D,2,0)</f>
        <v>0</v>
      </c>
      <c r="S87" s="43">
        <f t="shared" ref="S87:S89" si="9">+R87*Q87</f>
        <v>0</v>
      </c>
    </row>
    <row r="88" spans="2:19" x14ac:dyDescent="0.35">
      <c r="B88" s="1">
        <v>11</v>
      </c>
      <c r="C88" s="1" t="s">
        <v>698</v>
      </c>
      <c r="D88" s="1" t="s">
        <v>698</v>
      </c>
      <c r="E88" s="1" t="s">
        <v>698</v>
      </c>
      <c r="F88" s="1" t="s">
        <v>698</v>
      </c>
      <c r="G88" s="1" t="s">
        <v>698</v>
      </c>
      <c r="H88" s="1" t="s">
        <v>698</v>
      </c>
      <c r="I88" s="1" t="s">
        <v>698</v>
      </c>
      <c r="J88" s="1">
        <f t="shared" si="8"/>
        <v>1</v>
      </c>
      <c r="L88" s="1" t="s">
        <v>722</v>
      </c>
      <c r="M88" s="7">
        <v>85</v>
      </c>
      <c r="N88" s="1" t="s">
        <v>751</v>
      </c>
      <c r="O88" s="3" t="s">
        <v>754</v>
      </c>
      <c r="P88" s="3" t="s">
        <v>135</v>
      </c>
      <c r="Q88" s="3">
        <v>81</v>
      </c>
      <c r="R88" s="43">
        <f>VLOOKUP('11'!O88,Malzemeler!C:D,2,0)</f>
        <v>0</v>
      </c>
      <c r="S88" s="43">
        <f t="shared" si="9"/>
        <v>0</v>
      </c>
    </row>
    <row r="89" spans="2:19" x14ac:dyDescent="0.35">
      <c r="B89" s="1">
        <v>11</v>
      </c>
      <c r="C89" s="1" t="s">
        <v>698</v>
      </c>
      <c r="D89" s="1" t="s">
        <v>698</v>
      </c>
      <c r="E89" s="1" t="s">
        <v>698</v>
      </c>
      <c r="F89" s="1" t="s">
        <v>698</v>
      </c>
      <c r="G89" s="1" t="s">
        <v>698</v>
      </c>
      <c r="H89" s="1" t="s">
        <v>698</v>
      </c>
      <c r="I89" s="1" t="s">
        <v>698</v>
      </c>
      <c r="J89" s="1">
        <f t="shared" si="8"/>
        <v>1</v>
      </c>
      <c r="L89" s="1" t="s">
        <v>722</v>
      </c>
      <c r="M89" s="7">
        <v>86</v>
      </c>
      <c r="N89" s="1" t="s">
        <v>752</v>
      </c>
      <c r="O89" s="3" t="s">
        <v>755</v>
      </c>
      <c r="P89" s="3" t="s">
        <v>135</v>
      </c>
      <c r="Q89" s="3">
        <v>45</v>
      </c>
      <c r="R89" s="43">
        <f>VLOOKUP('11'!O89,Malzemeler!C:D,2,0)</f>
        <v>0</v>
      </c>
      <c r="S89" s="43">
        <f t="shared" si="9"/>
        <v>0</v>
      </c>
    </row>
    <row r="90" spans="2:19" x14ac:dyDescent="0.35">
      <c r="B90" s="1">
        <v>11</v>
      </c>
      <c r="C90" s="1" t="s">
        <v>698</v>
      </c>
      <c r="D90" s="1" t="s">
        <v>698</v>
      </c>
      <c r="E90" s="1" t="s">
        <v>698</v>
      </c>
      <c r="F90" s="1" t="s">
        <v>698</v>
      </c>
      <c r="G90" s="1" t="s">
        <v>698</v>
      </c>
      <c r="H90" s="1" t="s">
        <v>698</v>
      </c>
      <c r="I90" s="1">
        <v>1</v>
      </c>
      <c r="J90" s="1">
        <f>SUBTOTAL(103,B90)</f>
        <v>1</v>
      </c>
      <c r="L90" s="1" t="s">
        <v>721</v>
      </c>
      <c r="M90" s="7">
        <v>1</v>
      </c>
      <c r="N90" s="1" t="s">
        <v>668</v>
      </c>
      <c r="O90" s="3" t="s">
        <v>669</v>
      </c>
      <c r="P90" s="3" t="s">
        <v>14</v>
      </c>
      <c r="Q90" s="3">
        <v>1</v>
      </c>
      <c r="R90" s="43">
        <f>VLOOKUP('11'!O90,Malzemeler!C:D,2,0)</f>
        <v>0</v>
      </c>
      <c r="S90" s="43">
        <f t="shared" si="7"/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8AD25-CBBE-4C82-BBDB-194D6A701529}">
  <sheetPr codeName="Sayfa6"/>
  <dimension ref="A1:XFA88"/>
  <sheetViews>
    <sheetView topLeftCell="A55" zoomScale="85" zoomScaleNormal="85" workbookViewId="0">
      <selection activeCell="R84" sqref="R84:S87"/>
    </sheetView>
  </sheetViews>
  <sheetFormatPr defaultColWidth="8.6640625" defaultRowHeight="15" x14ac:dyDescent="0.35"/>
  <cols>
    <col min="1" max="1" width="5.21875" style="1" customWidth="1"/>
    <col min="2" max="2" width="6.6640625" style="1" bestFit="1" customWidth="1"/>
    <col min="3" max="3" width="5.21875" style="1" customWidth="1"/>
    <col min="4" max="4" width="13.77734375" style="1" bestFit="1" customWidth="1"/>
    <col min="5" max="5" width="11.5546875" style="1" bestFit="1" customWidth="1"/>
    <col min="6" max="6" width="16.77734375" style="1" bestFit="1" customWidth="1"/>
    <col min="7" max="7" width="9.6640625" style="1" bestFit="1" customWidth="1"/>
    <col min="8" max="8" width="8.44140625" style="1" bestFit="1" customWidth="1"/>
    <col min="9" max="9" width="6.77734375" style="1" bestFit="1" customWidth="1"/>
    <col min="10" max="10" width="2.21875" style="1" bestFit="1" customWidth="1"/>
    <col min="11" max="11" width="5.21875" style="1" customWidth="1"/>
    <col min="12" max="12" width="13.44140625" style="1" bestFit="1" customWidth="1"/>
    <col min="13" max="13" width="4.21875" style="2" customWidth="1"/>
    <col min="14" max="14" width="89.77734375" style="1" customWidth="1"/>
    <col min="15" max="15" width="18" style="3" bestFit="1" customWidth="1"/>
    <col min="16" max="16" width="6.88671875" style="1" bestFit="1" customWidth="1"/>
    <col min="17" max="17" width="8.88671875" style="1" bestFit="1" customWidth="1"/>
    <col min="18" max="18" width="13.109375" style="1" bestFit="1" customWidth="1"/>
    <col min="19" max="19" width="14.88671875" style="1" bestFit="1" customWidth="1"/>
    <col min="20" max="16384" width="8.6640625" style="1"/>
  </cols>
  <sheetData>
    <row r="1" spans="2:20" x14ac:dyDescent="0.35">
      <c r="B1" s="5" t="s">
        <v>493</v>
      </c>
      <c r="C1" s="5" t="s">
        <v>571</v>
      </c>
      <c r="D1" s="5" t="s">
        <v>569</v>
      </c>
      <c r="E1" s="5" t="s">
        <v>570</v>
      </c>
      <c r="F1" s="5" t="s">
        <v>581</v>
      </c>
      <c r="G1" s="5" t="s">
        <v>599</v>
      </c>
      <c r="H1" s="5" t="s">
        <v>600</v>
      </c>
      <c r="I1" s="5" t="s">
        <v>601</v>
      </c>
      <c r="N1" s="4" t="s">
        <v>179</v>
      </c>
    </row>
    <row r="2" spans="2:20" x14ac:dyDescent="0.35">
      <c r="B2" s="1">
        <v>15</v>
      </c>
      <c r="C2" s="1" t="s">
        <v>698</v>
      </c>
      <c r="D2" s="1" t="s">
        <v>698</v>
      </c>
      <c r="E2" s="1" t="s">
        <v>698</v>
      </c>
      <c r="F2" s="1" t="s">
        <v>698</v>
      </c>
      <c r="G2" s="1" t="s">
        <v>698</v>
      </c>
      <c r="H2" s="1" t="s">
        <v>698</v>
      </c>
      <c r="I2" s="1" t="s">
        <v>698</v>
      </c>
      <c r="J2" s="1">
        <f>SUBTOTAL(103,B2)</f>
        <v>1</v>
      </c>
      <c r="M2" s="8" t="s">
        <v>1</v>
      </c>
      <c r="N2" s="9" t="s">
        <v>2</v>
      </c>
      <c r="O2" s="9" t="s">
        <v>3</v>
      </c>
      <c r="P2" s="9" t="s">
        <v>4</v>
      </c>
      <c r="Q2" s="9" t="s">
        <v>5</v>
      </c>
      <c r="R2" s="9" t="s">
        <v>739</v>
      </c>
      <c r="S2" s="9" t="s">
        <v>740</v>
      </c>
    </row>
    <row r="3" spans="2:20" x14ac:dyDescent="0.35">
      <c r="B3" s="1">
        <v>15</v>
      </c>
      <c r="C3" s="1" t="s">
        <v>698</v>
      </c>
      <c r="D3" s="1" t="s">
        <v>698</v>
      </c>
      <c r="E3" s="1" t="s">
        <v>698</v>
      </c>
      <c r="F3" s="1" t="s">
        <v>698</v>
      </c>
      <c r="G3" s="1" t="s">
        <v>698</v>
      </c>
      <c r="H3" s="1" t="s">
        <v>698</v>
      </c>
      <c r="I3" s="1" t="s">
        <v>698</v>
      </c>
      <c r="J3" s="1">
        <f t="shared" ref="J3:J64" si="0">SUBTOTAL(103,B3)</f>
        <v>1</v>
      </c>
      <c r="L3" s="1" t="s">
        <v>723</v>
      </c>
      <c r="M3" s="7">
        <v>1</v>
      </c>
      <c r="N3" s="5" t="s">
        <v>180</v>
      </c>
      <c r="O3" s="3" t="s">
        <v>181</v>
      </c>
      <c r="P3" s="3" t="s">
        <v>14</v>
      </c>
      <c r="Q3" s="3">
        <v>1</v>
      </c>
      <c r="R3" s="43">
        <f>VLOOKUP('15'!O3,Malzemeler!C:D,2,0)</f>
        <v>906.12</v>
      </c>
      <c r="S3" s="43">
        <f>+R3*Q3</f>
        <v>906.12</v>
      </c>
    </row>
    <row r="4" spans="2:20" x14ac:dyDescent="0.35">
      <c r="B4" s="1">
        <v>15</v>
      </c>
      <c r="C4" s="1" t="s">
        <v>698</v>
      </c>
      <c r="D4" s="1" t="s">
        <v>698</v>
      </c>
      <c r="E4" s="1" t="s">
        <v>698</v>
      </c>
      <c r="F4" s="1" t="s">
        <v>698</v>
      </c>
      <c r="G4" s="1" t="s">
        <v>698</v>
      </c>
      <c r="H4" s="1" t="s">
        <v>698</v>
      </c>
      <c r="I4" s="1" t="s">
        <v>698</v>
      </c>
      <c r="J4" s="1">
        <f t="shared" si="0"/>
        <v>1</v>
      </c>
      <c r="L4" s="1" t="s">
        <v>723</v>
      </c>
      <c r="M4" s="7">
        <v>2</v>
      </c>
      <c r="N4" s="5" t="s">
        <v>151</v>
      </c>
      <c r="O4" s="3" t="s">
        <v>549</v>
      </c>
      <c r="P4" s="3" t="s">
        <v>14</v>
      </c>
      <c r="Q4" s="3">
        <v>1</v>
      </c>
      <c r="R4" s="43">
        <f>VLOOKUP('15'!O4,Malzemeler!C:D,2,0)</f>
        <v>40.708500000000001</v>
      </c>
      <c r="S4" s="43">
        <f t="shared" ref="S4:S65" si="1">+R4*Q4</f>
        <v>40.708500000000001</v>
      </c>
    </row>
    <row r="5" spans="2:20" x14ac:dyDescent="0.35">
      <c r="B5" s="1">
        <v>15</v>
      </c>
      <c r="C5" s="1" t="s">
        <v>698</v>
      </c>
      <c r="D5" s="1" t="s">
        <v>698</v>
      </c>
      <c r="E5" s="1" t="s">
        <v>698</v>
      </c>
      <c r="F5" s="1" t="s">
        <v>698</v>
      </c>
      <c r="G5" s="1" t="s">
        <v>698</v>
      </c>
      <c r="H5" s="1" t="s">
        <v>698</v>
      </c>
      <c r="I5" s="1" t="s">
        <v>698</v>
      </c>
      <c r="J5" s="1">
        <f t="shared" si="0"/>
        <v>1</v>
      </c>
      <c r="L5" s="1" t="s">
        <v>723</v>
      </c>
      <c r="M5" s="7">
        <v>3</v>
      </c>
      <c r="N5" s="5" t="s">
        <v>182</v>
      </c>
      <c r="O5" s="3" t="s">
        <v>498</v>
      </c>
      <c r="P5" s="3" t="s">
        <v>14</v>
      </c>
      <c r="Q5" s="3">
        <v>1</v>
      </c>
      <c r="R5" s="43">
        <f>VLOOKUP('15'!O5,Malzemeler!C:D,2,0)</f>
        <v>2702.18</v>
      </c>
      <c r="S5" s="43">
        <f t="shared" si="1"/>
        <v>2702.18</v>
      </c>
    </row>
    <row r="6" spans="2:20" x14ac:dyDescent="0.35">
      <c r="B6" s="1">
        <v>15</v>
      </c>
      <c r="C6" s="1" t="s">
        <v>698</v>
      </c>
      <c r="D6" s="1" t="s">
        <v>698</v>
      </c>
      <c r="E6" s="1" t="s">
        <v>698</v>
      </c>
      <c r="F6" s="1" t="s">
        <v>698</v>
      </c>
      <c r="G6" s="1" t="s">
        <v>698</v>
      </c>
      <c r="H6" s="1" t="s">
        <v>698</v>
      </c>
      <c r="I6" s="1" t="s">
        <v>698</v>
      </c>
      <c r="J6" s="1">
        <f t="shared" si="0"/>
        <v>1</v>
      </c>
      <c r="L6" s="1" t="s">
        <v>723</v>
      </c>
      <c r="M6" s="7">
        <v>4</v>
      </c>
      <c r="N6" s="5" t="s">
        <v>11</v>
      </c>
      <c r="O6" s="3" t="s">
        <v>12</v>
      </c>
      <c r="P6" s="3" t="s">
        <v>14</v>
      </c>
      <c r="Q6" s="3">
        <v>1</v>
      </c>
      <c r="R6" s="43">
        <f>VLOOKUP('15'!O6,Malzemeler!C:D,2,0)</f>
        <v>12.8</v>
      </c>
      <c r="S6" s="43">
        <f t="shared" si="1"/>
        <v>12.8</v>
      </c>
    </row>
    <row r="7" spans="2:20" x14ac:dyDescent="0.35">
      <c r="B7" s="1">
        <v>15</v>
      </c>
      <c r="C7" s="1" t="s">
        <v>698</v>
      </c>
      <c r="D7" s="1" t="s">
        <v>698</v>
      </c>
      <c r="E7" s="1" t="s">
        <v>698</v>
      </c>
      <c r="F7" s="1" t="s">
        <v>698</v>
      </c>
      <c r="G7" s="1" t="s">
        <v>698</v>
      </c>
      <c r="H7" s="1" t="s">
        <v>698</v>
      </c>
      <c r="I7" s="1" t="s">
        <v>698</v>
      </c>
      <c r="J7" s="1">
        <f t="shared" si="0"/>
        <v>1</v>
      </c>
      <c r="L7" s="1" t="s">
        <v>723</v>
      </c>
      <c r="M7" s="7">
        <v>5</v>
      </c>
      <c r="N7" s="5" t="s">
        <v>183</v>
      </c>
      <c r="O7" s="3" t="s">
        <v>501</v>
      </c>
      <c r="P7" s="3" t="s">
        <v>14</v>
      </c>
      <c r="Q7" s="3">
        <v>4</v>
      </c>
      <c r="R7" s="43">
        <f>VLOOKUP('15'!O7,Malzemeler!C:D,2,0)</f>
        <v>16.7</v>
      </c>
      <c r="S7" s="43">
        <f t="shared" si="1"/>
        <v>66.8</v>
      </c>
    </row>
    <row r="8" spans="2:20" x14ac:dyDescent="0.35">
      <c r="B8" s="1">
        <v>15</v>
      </c>
      <c r="C8" s="1" t="s">
        <v>698</v>
      </c>
      <c r="D8" s="1" t="s">
        <v>698</v>
      </c>
      <c r="E8" s="1" t="s">
        <v>698</v>
      </c>
      <c r="F8" s="1" t="s">
        <v>698</v>
      </c>
      <c r="G8" s="1" t="s">
        <v>698</v>
      </c>
      <c r="H8" s="1" t="s">
        <v>698</v>
      </c>
      <c r="I8" s="1" t="s">
        <v>698</v>
      </c>
      <c r="J8" s="1">
        <f t="shared" si="0"/>
        <v>1</v>
      </c>
      <c r="L8" s="1" t="s">
        <v>723</v>
      </c>
      <c r="M8" s="7">
        <v>6</v>
      </c>
      <c r="N8" s="5" t="s">
        <v>184</v>
      </c>
      <c r="O8" s="3" t="s">
        <v>504</v>
      </c>
      <c r="P8" s="3" t="s">
        <v>14</v>
      </c>
      <c r="Q8" s="3">
        <v>1</v>
      </c>
      <c r="R8" s="43">
        <f>VLOOKUP('15'!O8,Malzemeler!C:D,2,0)</f>
        <v>10.8</v>
      </c>
      <c r="S8" s="43">
        <f t="shared" si="1"/>
        <v>10.8</v>
      </c>
    </row>
    <row r="9" spans="2:20" x14ac:dyDescent="0.35">
      <c r="B9" s="1">
        <v>15</v>
      </c>
      <c r="C9" s="1" t="s">
        <v>698</v>
      </c>
      <c r="D9" s="1" t="s">
        <v>698</v>
      </c>
      <c r="E9" s="1" t="s">
        <v>698</v>
      </c>
      <c r="F9" s="1" t="s">
        <v>698</v>
      </c>
      <c r="G9" s="1" t="s">
        <v>698</v>
      </c>
      <c r="H9" s="1" t="s">
        <v>698</v>
      </c>
      <c r="I9" s="1" t="s">
        <v>698</v>
      </c>
      <c r="J9" s="1">
        <f t="shared" si="0"/>
        <v>1</v>
      </c>
      <c r="L9" s="1" t="s">
        <v>723</v>
      </c>
      <c r="M9" s="7">
        <v>7</v>
      </c>
      <c r="N9" s="5" t="s">
        <v>185</v>
      </c>
      <c r="O9" s="3" t="s">
        <v>511</v>
      </c>
      <c r="P9" s="3" t="s">
        <v>14</v>
      </c>
      <c r="Q9" s="3">
        <v>1</v>
      </c>
      <c r="R9" s="43">
        <f>VLOOKUP('15'!O9,Malzemeler!C:D,2,0)</f>
        <v>14.5</v>
      </c>
      <c r="S9" s="43">
        <f t="shared" si="1"/>
        <v>14.5</v>
      </c>
    </row>
    <row r="10" spans="2:20" x14ac:dyDescent="0.35">
      <c r="B10" s="1">
        <v>15</v>
      </c>
      <c r="C10" s="1" t="s">
        <v>698</v>
      </c>
      <c r="D10" s="1" t="s">
        <v>698</v>
      </c>
      <c r="E10" s="1" t="s">
        <v>698</v>
      </c>
      <c r="F10" s="1" t="s">
        <v>698</v>
      </c>
      <c r="G10" s="1" t="s">
        <v>698</v>
      </c>
      <c r="H10" s="1" t="s">
        <v>698</v>
      </c>
      <c r="I10" s="1" t="s">
        <v>698</v>
      </c>
      <c r="J10" s="1">
        <f t="shared" si="0"/>
        <v>1</v>
      </c>
      <c r="L10" s="1" t="s">
        <v>723</v>
      </c>
      <c r="M10" s="7">
        <v>8</v>
      </c>
      <c r="N10" s="5" t="s">
        <v>186</v>
      </c>
      <c r="O10" s="3" t="s">
        <v>517</v>
      </c>
      <c r="P10" s="3" t="s">
        <v>14</v>
      </c>
      <c r="Q10" s="3">
        <v>1</v>
      </c>
      <c r="R10" s="43">
        <f>VLOOKUP('15'!O10,Malzemeler!C:D,2,0)</f>
        <v>19.5</v>
      </c>
      <c r="S10" s="43">
        <f t="shared" si="1"/>
        <v>19.5</v>
      </c>
      <c r="T10" s="3"/>
    </row>
    <row r="11" spans="2:20" x14ac:dyDescent="0.35">
      <c r="B11" s="1">
        <v>15</v>
      </c>
      <c r="C11" s="1" t="s">
        <v>698</v>
      </c>
      <c r="D11" s="1" t="s">
        <v>698</v>
      </c>
      <c r="E11" s="1" t="s">
        <v>698</v>
      </c>
      <c r="F11" s="1" t="s">
        <v>698</v>
      </c>
      <c r="G11" s="1" t="s">
        <v>698</v>
      </c>
      <c r="H11" s="1" t="s">
        <v>698</v>
      </c>
      <c r="I11" s="1" t="s">
        <v>698</v>
      </c>
      <c r="J11" s="1">
        <f t="shared" si="0"/>
        <v>1</v>
      </c>
      <c r="L11" s="1" t="s">
        <v>723</v>
      </c>
      <c r="M11" s="7">
        <v>9</v>
      </c>
      <c r="N11" s="5" t="s">
        <v>616</v>
      </c>
      <c r="O11" s="3" t="s">
        <v>621</v>
      </c>
      <c r="P11" s="3" t="s">
        <v>14</v>
      </c>
      <c r="Q11" s="3">
        <v>1</v>
      </c>
      <c r="R11" s="43">
        <f>VLOOKUP('15'!O11,Malzemeler!C:D,2,0)</f>
        <v>0</v>
      </c>
      <c r="S11" s="43">
        <f t="shared" si="1"/>
        <v>0</v>
      </c>
      <c r="T11" s="3"/>
    </row>
    <row r="12" spans="2:20" x14ac:dyDescent="0.35">
      <c r="B12" s="1">
        <v>15</v>
      </c>
      <c r="C12" s="1" t="s">
        <v>698</v>
      </c>
      <c r="D12" s="1" t="s">
        <v>698</v>
      </c>
      <c r="E12" s="1" t="s">
        <v>698</v>
      </c>
      <c r="F12" s="1" t="s">
        <v>698</v>
      </c>
      <c r="G12" s="1" t="s">
        <v>698</v>
      </c>
      <c r="H12" s="1" t="s">
        <v>698</v>
      </c>
      <c r="I12" s="1" t="s">
        <v>698</v>
      </c>
      <c r="J12" s="1">
        <f t="shared" si="0"/>
        <v>1</v>
      </c>
      <c r="L12" s="1" t="s">
        <v>723</v>
      </c>
      <c r="M12" s="7">
        <v>10</v>
      </c>
      <c r="N12" s="5" t="s">
        <v>618</v>
      </c>
      <c r="O12" s="3" t="s">
        <v>623</v>
      </c>
      <c r="P12" s="3" t="s">
        <v>14</v>
      </c>
      <c r="Q12" s="3">
        <v>1</v>
      </c>
      <c r="R12" s="43">
        <f>VLOOKUP('15'!O12,Malzemeler!C:D,2,0)</f>
        <v>0</v>
      </c>
      <c r="S12" s="43">
        <f t="shared" si="1"/>
        <v>0</v>
      </c>
    </row>
    <row r="13" spans="2:20" x14ac:dyDescent="0.35">
      <c r="B13" s="1">
        <v>15</v>
      </c>
      <c r="C13" s="1" t="s">
        <v>698</v>
      </c>
      <c r="D13" s="1" t="s">
        <v>698</v>
      </c>
      <c r="E13" s="1" t="s">
        <v>698</v>
      </c>
      <c r="F13" s="1" t="s">
        <v>698</v>
      </c>
      <c r="G13" s="1" t="s">
        <v>698</v>
      </c>
      <c r="H13" s="1" t="s">
        <v>698</v>
      </c>
      <c r="I13" s="1" t="s">
        <v>698</v>
      </c>
      <c r="J13" s="1">
        <f t="shared" si="0"/>
        <v>1</v>
      </c>
      <c r="L13" s="1" t="s">
        <v>723</v>
      </c>
      <c r="M13" s="7">
        <v>11</v>
      </c>
      <c r="N13" s="5" t="s">
        <v>71</v>
      </c>
      <c r="O13" s="3" t="s">
        <v>83</v>
      </c>
      <c r="P13" s="3" t="s">
        <v>14</v>
      </c>
      <c r="Q13" s="3">
        <v>5.5</v>
      </c>
      <c r="R13" s="43">
        <f>VLOOKUP('15'!O13,Malzemeler!C:D,2,0)</f>
        <v>2.5</v>
      </c>
      <c r="S13" s="43">
        <f t="shared" si="1"/>
        <v>13.75</v>
      </c>
    </row>
    <row r="14" spans="2:20" x14ac:dyDescent="0.35">
      <c r="B14" s="1">
        <v>15</v>
      </c>
      <c r="C14" s="1" t="s">
        <v>698</v>
      </c>
      <c r="D14" s="1" t="s">
        <v>698</v>
      </c>
      <c r="E14" s="1" t="s">
        <v>698</v>
      </c>
      <c r="F14" s="1" t="s">
        <v>698</v>
      </c>
      <c r="G14" s="1" t="s">
        <v>698</v>
      </c>
      <c r="H14" s="1" t="s">
        <v>698</v>
      </c>
      <c r="I14" s="1" t="s">
        <v>698</v>
      </c>
      <c r="J14" s="1">
        <f t="shared" si="0"/>
        <v>1</v>
      </c>
      <c r="L14" s="1" t="s">
        <v>723</v>
      </c>
      <c r="M14" s="7">
        <v>12</v>
      </c>
      <c r="N14" s="5" t="s">
        <v>72</v>
      </c>
      <c r="O14" s="3" t="s">
        <v>84</v>
      </c>
      <c r="P14" s="3" t="s">
        <v>14</v>
      </c>
      <c r="Q14" s="3">
        <v>5</v>
      </c>
      <c r="R14" s="43">
        <f>VLOOKUP('15'!O14,Malzemeler!C:D,2,0)</f>
        <v>7.85</v>
      </c>
      <c r="S14" s="43">
        <f t="shared" si="1"/>
        <v>39.25</v>
      </c>
    </row>
    <row r="15" spans="2:20" x14ac:dyDescent="0.35">
      <c r="B15" s="1">
        <v>15</v>
      </c>
      <c r="C15" s="1" t="s">
        <v>698</v>
      </c>
      <c r="D15" s="1" t="s">
        <v>698</v>
      </c>
      <c r="E15" s="1" t="s">
        <v>698</v>
      </c>
      <c r="F15" s="1" t="s">
        <v>698</v>
      </c>
      <c r="G15" s="1" t="s">
        <v>698</v>
      </c>
      <c r="H15" s="1" t="s">
        <v>698</v>
      </c>
      <c r="I15" s="1" t="s">
        <v>698</v>
      </c>
      <c r="J15" s="1">
        <f t="shared" si="0"/>
        <v>1</v>
      </c>
      <c r="L15" s="1" t="s">
        <v>723</v>
      </c>
      <c r="M15" s="7">
        <v>13</v>
      </c>
      <c r="N15" s="5" t="s">
        <v>62</v>
      </c>
      <c r="O15" s="3" t="s">
        <v>73</v>
      </c>
      <c r="P15" s="3" t="s">
        <v>14</v>
      </c>
      <c r="Q15" s="3">
        <v>2</v>
      </c>
      <c r="R15" s="43">
        <f>VLOOKUP('15'!O15,Malzemeler!C:D,2,0)</f>
        <v>9.65</v>
      </c>
      <c r="S15" s="43">
        <f t="shared" si="1"/>
        <v>19.3</v>
      </c>
    </row>
    <row r="16" spans="2:20" x14ac:dyDescent="0.35">
      <c r="B16" s="1">
        <v>15</v>
      </c>
      <c r="C16" s="1" t="s">
        <v>698</v>
      </c>
      <c r="D16" s="1" t="s">
        <v>698</v>
      </c>
      <c r="E16" s="1" t="s">
        <v>698</v>
      </c>
      <c r="F16" s="1" t="s">
        <v>698</v>
      </c>
      <c r="G16" s="1" t="s">
        <v>698</v>
      </c>
      <c r="H16" s="1" t="s">
        <v>698</v>
      </c>
      <c r="I16" s="1" t="s">
        <v>698</v>
      </c>
      <c r="J16" s="1">
        <f t="shared" si="0"/>
        <v>1</v>
      </c>
      <c r="L16" s="1" t="s">
        <v>723</v>
      </c>
      <c r="M16" s="7">
        <v>14</v>
      </c>
      <c r="N16" s="5" t="s">
        <v>63</v>
      </c>
      <c r="O16" s="3" t="s">
        <v>74</v>
      </c>
      <c r="P16" s="3" t="s">
        <v>14</v>
      </c>
      <c r="Q16" s="3">
        <v>7</v>
      </c>
      <c r="R16" s="43">
        <f>VLOOKUP('15'!O16,Malzemeler!C:D,2,0)</f>
        <v>16.149999999999999</v>
      </c>
      <c r="S16" s="43">
        <f t="shared" si="1"/>
        <v>113.04999999999998</v>
      </c>
    </row>
    <row r="17" spans="1:1021 1025:2045 2049:3069 3073:4093 4097:5117 5121:6141 6145:7165 7169:8189 8193:9213 9217:10237 10241:11261 11265:12285 12289:13309 13313:14333 14337:15357 15361:16381" x14ac:dyDescent="0.35">
      <c r="B17" s="1">
        <v>15</v>
      </c>
      <c r="C17" s="1" t="s">
        <v>698</v>
      </c>
      <c r="D17" s="1" t="s">
        <v>698</v>
      </c>
      <c r="E17" s="1" t="s">
        <v>698</v>
      </c>
      <c r="F17" s="1" t="s">
        <v>698</v>
      </c>
      <c r="G17" s="1" t="s">
        <v>698</v>
      </c>
      <c r="H17" s="1" t="s">
        <v>698</v>
      </c>
      <c r="I17" s="1" t="s">
        <v>698</v>
      </c>
      <c r="J17" s="1">
        <f t="shared" si="0"/>
        <v>1</v>
      </c>
      <c r="L17" s="1" t="s">
        <v>723</v>
      </c>
      <c r="M17" s="7">
        <v>15</v>
      </c>
      <c r="N17" s="5" t="s">
        <v>197</v>
      </c>
      <c r="O17" s="3" t="s">
        <v>200</v>
      </c>
      <c r="P17" s="3" t="s">
        <v>14</v>
      </c>
      <c r="Q17" s="3">
        <v>1</v>
      </c>
      <c r="R17" s="43">
        <f>VLOOKUP('15'!O17,Malzemeler!C:D,2,0)</f>
        <v>0.8</v>
      </c>
      <c r="S17" s="43">
        <f t="shared" si="1"/>
        <v>0.8</v>
      </c>
    </row>
    <row r="18" spans="1:1021 1025:2045 2049:3069 3073:4093 4097:5117 5121:6141 6145:7165 7169:8189 8193:9213 9217:10237 10241:11261 11265:12285 12289:13309 13313:14333 14337:15357 15361:16381" x14ac:dyDescent="0.35">
      <c r="B18" s="1">
        <v>15</v>
      </c>
      <c r="C18" s="1" t="s">
        <v>698</v>
      </c>
      <c r="D18" s="1" t="s">
        <v>698</v>
      </c>
      <c r="E18" s="1" t="s">
        <v>698</v>
      </c>
      <c r="F18" s="1" t="s">
        <v>698</v>
      </c>
      <c r="G18" s="1" t="s">
        <v>698</v>
      </c>
      <c r="H18" s="1" t="s">
        <v>698</v>
      </c>
      <c r="I18" s="1" t="s">
        <v>698</v>
      </c>
      <c r="J18" s="1">
        <f t="shared" si="0"/>
        <v>1</v>
      </c>
      <c r="L18" s="1" t="s">
        <v>723</v>
      </c>
      <c r="M18" s="7">
        <v>16</v>
      </c>
      <c r="N18" s="5" t="s">
        <v>198</v>
      </c>
      <c r="O18" s="3" t="s">
        <v>201</v>
      </c>
      <c r="P18" s="3" t="s">
        <v>14</v>
      </c>
      <c r="Q18" s="3">
        <v>2</v>
      </c>
      <c r="R18" s="43">
        <f>VLOOKUP('15'!O18,Malzemeler!C:D,2,0)</f>
        <v>0.6</v>
      </c>
      <c r="S18" s="43">
        <f t="shared" si="1"/>
        <v>1.2</v>
      </c>
    </row>
    <row r="19" spans="1:1021 1025:2045 2049:3069 3073:4093 4097:5117 5121:6141 6145:7165 7169:8189 8193:9213 9217:10237 10241:11261 11265:12285 12289:13309 13313:14333 14337:15357 15361:16381" x14ac:dyDescent="0.35">
      <c r="B19" s="1">
        <v>15</v>
      </c>
      <c r="C19" s="1" t="s">
        <v>698</v>
      </c>
      <c r="D19" s="1" t="s">
        <v>698</v>
      </c>
      <c r="E19" s="1" t="s">
        <v>698</v>
      </c>
      <c r="F19" s="1" t="s">
        <v>698</v>
      </c>
      <c r="G19" s="1" t="s">
        <v>698</v>
      </c>
      <c r="H19" s="1" t="s">
        <v>698</v>
      </c>
      <c r="I19" s="1" t="s">
        <v>698</v>
      </c>
      <c r="J19" s="1">
        <f t="shared" si="0"/>
        <v>1</v>
      </c>
      <c r="L19" s="1" t="s">
        <v>723</v>
      </c>
      <c r="M19" s="7">
        <v>17</v>
      </c>
      <c r="N19" s="5" t="s">
        <v>199</v>
      </c>
      <c r="O19" s="3" t="s">
        <v>202</v>
      </c>
      <c r="P19" s="3" t="s">
        <v>14</v>
      </c>
      <c r="Q19" s="3">
        <v>2</v>
      </c>
      <c r="R19" s="43">
        <f>VLOOKUP('15'!O19,Malzemeler!C:D,2,0)</f>
        <v>0.5</v>
      </c>
      <c r="S19" s="43">
        <f t="shared" si="1"/>
        <v>1</v>
      </c>
    </row>
    <row r="20" spans="1:1021 1025:2045 2049:3069 3073:4093 4097:5117 5121:6141 6145:7165 7169:8189 8193:9213 9217:10237 10241:11261 11265:12285 12289:13309 13313:14333 14337:15357 15361:16381" x14ac:dyDescent="0.35">
      <c r="B20" s="1">
        <v>15</v>
      </c>
      <c r="C20" s="1" t="s">
        <v>698</v>
      </c>
      <c r="D20" s="1" t="s">
        <v>698</v>
      </c>
      <c r="E20" s="1" t="s">
        <v>698</v>
      </c>
      <c r="F20" s="1" t="s">
        <v>698</v>
      </c>
      <c r="G20" s="1" t="s">
        <v>698</v>
      </c>
      <c r="H20" s="1" t="s">
        <v>698</v>
      </c>
      <c r="I20" s="1" t="s">
        <v>698</v>
      </c>
      <c r="J20" s="1">
        <f t="shared" si="0"/>
        <v>1</v>
      </c>
      <c r="L20" s="1" t="s">
        <v>723</v>
      </c>
      <c r="M20" s="7">
        <v>18</v>
      </c>
      <c r="N20" s="5" t="s">
        <v>164</v>
      </c>
      <c r="O20" s="3" t="s">
        <v>167</v>
      </c>
      <c r="P20" s="3" t="s">
        <v>14</v>
      </c>
      <c r="Q20" s="3">
        <v>6</v>
      </c>
      <c r="R20" s="43">
        <f>VLOOKUP('15'!O20,Malzemeler!C:D,2,0)</f>
        <v>0.45</v>
      </c>
      <c r="S20" s="43">
        <f t="shared" si="1"/>
        <v>2.7</v>
      </c>
    </row>
    <row r="21" spans="1:1021 1025:2045 2049:3069 3073:4093 4097:5117 5121:6141 6145:7165 7169:8189 8193:9213 9217:10237 10241:11261 11265:12285 12289:13309 13313:14333 14337:15357 15361:16381" s="61" customFormat="1" x14ac:dyDescent="0.35">
      <c r="A21" s="60"/>
      <c r="B21" s="1">
        <v>15</v>
      </c>
      <c r="C21" s="63" t="s">
        <v>698</v>
      </c>
      <c r="D21" s="63" t="s">
        <v>698</v>
      </c>
      <c r="E21" s="63" t="s">
        <v>698</v>
      </c>
      <c r="F21" s="63" t="s">
        <v>698</v>
      </c>
      <c r="G21" s="63" t="s">
        <v>698</v>
      </c>
      <c r="H21" s="63" t="s">
        <v>698</v>
      </c>
      <c r="I21" s="63" t="s">
        <v>698</v>
      </c>
      <c r="J21" s="63">
        <f t="shared" si="0"/>
        <v>1</v>
      </c>
      <c r="K21" s="63"/>
      <c r="L21" s="63" t="s">
        <v>723</v>
      </c>
      <c r="M21" s="64">
        <v>18</v>
      </c>
      <c r="N21" s="60" t="s">
        <v>68</v>
      </c>
      <c r="O21" s="61" t="s">
        <v>80</v>
      </c>
      <c r="P21" s="61" t="s">
        <v>14</v>
      </c>
      <c r="Q21" s="61">
        <v>2</v>
      </c>
      <c r="R21" s="65">
        <f>VLOOKUP('7'!O21,Malzemeler!C:D,2,0)</f>
        <v>0.4</v>
      </c>
      <c r="S21" s="65">
        <f t="shared" si="1"/>
        <v>0.8</v>
      </c>
      <c r="U21" s="60"/>
      <c r="Y21" s="60"/>
      <c r="AC21" s="60"/>
      <c r="AG21" s="60"/>
      <c r="AK21" s="60"/>
      <c r="AO21" s="60"/>
      <c r="AS21" s="60"/>
      <c r="AW21" s="60"/>
      <c r="BA21" s="60"/>
      <c r="BE21" s="60"/>
      <c r="BI21" s="60"/>
      <c r="BM21" s="60"/>
      <c r="BQ21" s="60"/>
      <c r="BU21" s="60"/>
      <c r="BY21" s="60"/>
      <c r="CC21" s="60"/>
      <c r="CG21" s="60"/>
      <c r="CK21" s="60"/>
      <c r="CO21" s="60"/>
      <c r="CS21" s="60"/>
      <c r="CW21" s="60"/>
      <c r="DA21" s="60"/>
      <c r="DE21" s="60"/>
      <c r="DI21" s="60"/>
      <c r="DM21" s="60"/>
      <c r="DQ21" s="60"/>
      <c r="DU21" s="60"/>
      <c r="DY21" s="60"/>
      <c r="EC21" s="60"/>
      <c r="EG21" s="60"/>
      <c r="EK21" s="60"/>
      <c r="EO21" s="60"/>
      <c r="ES21" s="60"/>
      <c r="EW21" s="60"/>
      <c r="FA21" s="60"/>
      <c r="FE21" s="60"/>
      <c r="FI21" s="60"/>
      <c r="FM21" s="60"/>
      <c r="FQ21" s="60"/>
      <c r="FU21" s="60"/>
      <c r="FY21" s="60"/>
      <c r="GC21" s="60"/>
      <c r="GG21" s="60"/>
      <c r="GK21" s="60"/>
      <c r="GO21" s="60"/>
      <c r="GS21" s="60"/>
      <c r="GW21" s="60"/>
      <c r="HA21" s="60"/>
      <c r="HE21" s="60"/>
      <c r="HI21" s="60"/>
      <c r="HM21" s="60"/>
      <c r="HQ21" s="60"/>
      <c r="HU21" s="60"/>
      <c r="HY21" s="60"/>
      <c r="IC21" s="60"/>
      <c r="IG21" s="60"/>
      <c r="IK21" s="60"/>
      <c r="IO21" s="60"/>
      <c r="IS21" s="60"/>
      <c r="IW21" s="60"/>
      <c r="JA21" s="60"/>
      <c r="JE21" s="60"/>
      <c r="JI21" s="60"/>
      <c r="JM21" s="60"/>
      <c r="JQ21" s="60"/>
      <c r="JU21" s="60"/>
      <c r="JY21" s="60"/>
      <c r="KC21" s="60"/>
      <c r="KG21" s="60"/>
      <c r="KK21" s="60"/>
      <c r="KO21" s="60"/>
      <c r="KS21" s="60"/>
      <c r="KW21" s="60"/>
      <c r="LA21" s="60"/>
      <c r="LE21" s="60"/>
      <c r="LI21" s="60"/>
      <c r="LM21" s="60"/>
      <c r="LQ21" s="60"/>
      <c r="LU21" s="60"/>
      <c r="LY21" s="60"/>
      <c r="MC21" s="60"/>
      <c r="MG21" s="60"/>
      <c r="MK21" s="60"/>
      <c r="MO21" s="60"/>
      <c r="MS21" s="60"/>
      <c r="MW21" s="60"/>
      <c r="NA21" s="60"/>
      <c r="NE21" s="60"/>
      <c r="NI21" s="60"/>
      <c r="NM21" s="60"/>
      <c r="NQ21" s="60"/>
      <c r="NU21" s="60"/>
      <c r="NY21" s="60"/>
      <c r="OC21" s="60"/>
      <c r="OG21" s="60"/>
      <c r="OK21" s="60"/>
      <c r="OO21" s="60"/>
      <c r="OS21" s="60"/>
      <c r="OW21" s="60"/>
      <c r="PA21" s="60"/>
      <c r="PE21" s="60"/>
      <c r="PI21" s="60"/>
      <c r="PM21" s="60"/>
      <c r="PQ21" s="60"/>
      <c r="PU21" s="60"/>
      <c r="PY21" s="60"/>
      <c r="QC21" s="60"/>
      <c r="QG21" s="60"/>
      <c r="QK21" s="60"/>
      <c r="QO21" s="60"/>
      <c r="QS21" s="60"/>
      <c r="QW21" s="60"/>
      <c r="RA21" s="60"/>
      <c r="RE21" s="60"/>
      <c r="RI21" s="60"/>
      <c r="RM21" s="60"/>
      <c r="RQ21" s="60"/>
      <c r="RU21" s="60"/>
      <c r="RY21" s="60"/>
      <c r="SC21" s="60"/>
      <c r="SG21" s="60"/>
      <c r="SK21" s="60"/>
      <c r="SO21" s="60"/>
      <c r="SS21" s="60"/>
      <c r="SW21" s="60"/>
      <c r="TA21" s="60"/>
      <c r="TE21" s="60"/>
      <c r="TI21" s="60"/>
      <c r="TM21" s="60"/>
      <c r="TQ21" s="60"/>
      <c r="TU21" s="60"/>
      <c r="TY21" s="60"/>
      <c r="UC21" s="60"/>
      <c r="UG21" s="60"/>
      <c r="UK21" s="60"/>
      <c r="UO21" s="60"/>
      <c r="US21" s="60"/>
      <c r="UW21" s="60"/>
      <c r="VA21" s="60"/>
      <c r="VE21" s="60"/>
      <c r="VI21" s="60"/>
      <c r="VM21" s="60"/>
      <c r="VQ21" s="60"/>
      <c r="VU21" s="60"/>
      <c r="VY21" s="60"/>
      <c r="WC21" s="60"/>
      <c r="WG21" s="60"/>
      <c r="WK21" s="60"/>
      <c r="WO21" s="60"/>
      <c r="WS21" s="60"/>
      <c r="WW21" s="60"/>
      <c r="XA21" s="60"/>
      <c r="XE21" s="60"/>
      <c r="XI21" s="60"/>
      <c r="XM21" s="60"/>
      <c r="XQ21" s="60"/>
      <c r="XU21" s="60"/>
      <c r="XY21" s="60"/>
      <c r="YC21" s="60"/>
      <c r="YG21" s="60"/>
      <c r="YK21" s="60"/>
      <c r="YO21" s="60"/>
      <c r="YS21" s="60"/>
      <c r="YW21" s="60"/>
      <c r="ZA21" s="60"/>
      <c r="ZE21" s="60"/>
      <c r="ZI21" s="60"/>
      <c r="ZM21" s="60"/>
      <c r="ZQ21" s="60"/>
      <c r="ZU21" s="60"/>
      <c r="ZY21" s="60"/>
      <c r="AAC21" s="60"/>
      <c r="AAG21" s="60"/>
      <c r="AAK21" s="60"/>
      <c r="AAO21" s="60"/>
      <c r="AAS21" s="60"/>
      <c r="AAW21" s="60"/>
      <c r="ABA21" s="60"/>
      <c r="ABE21" s="60"/>
      <c r="ABI21" s="60"/>
      <c r="ABM21" s="60"/>
      <c r="ABQ21" s="60"/>
      <c r="ABU21" s="60"/>
      <c r="ABY21" s="60"/>
      <c r="ACC21" s="60"/>
      <c r="ACG21" s="60"/>
      <c r="ACK21" s="60"/>
      <c r="ACO21" s="60"/>
      <c r="ACS21" s="60"/>
      <c r="ACW21" s="60"/>
      <c r="ADA21" s="60"/>
      <c r="ADE21" s="60"/>
      <c r="ADI21" s="60"/>
      <c r="ADM21" s="60"/>
      <c r="ADQ21" s="60"/>
      <c r="ADU21" s="60"/>
      <c r="ADY21" s="60"/>
      <c r="AEC21" s="60"/>
      <c r="AEG21" s="60"/>
      <c r="AEK21" s="60"/>
      <c r="AEO21" s="60"/>
      <c r="AES21" s="60"/>
      <c r="AEW21" s="60"/>
      <c r="AFA21" s="60"/>
      <c r="AFE21" s="60"/>
      <c r="AFI21" s="60"/>
      <c r="AFM21" s="60"/>
      <c r="AFQ21" s="60"/>
      <c r="AFU21" s="60"/>
      <c r="AFY21" s="60"/>
      <c r="AGC21" s="60"/>
      <c r="AGG21" s="60"/>
      <c r="AGK21" s="60"/>
      <c r="AGO21" s="60"/>
      <c r="AGS21" s="60"/>
      <c r="AGW21" s="60"/>
      <c r="AHA21" s="60"/>
      <c r="AHE21" s="60"/>
      <c r="AHI21" s="60"/>
      <c r="AHM21" s="60"/>
      <c r="AHQ21" s="60"/>
      <c r="AHU21" s="60"/>
      <c r="AHY21" s="60"/>
      <c r="AIC21" s="60"/>
      <c r="AIG21" s="60"/>
      <c r="AIK21" s="60"/>
      <c r="AIO21" s="60"/>
      <c r="AIS21" s="60"/>
      <c r="AIW21" s="60"/>
      <c r="AJA21" s="60"/>
      <c r="AJE21" s="60"/>
      <c r="AJI21" s="60"/>
      <c r="AJM21" s="60"/>
      <c r="AJQ21" s="60"/>
      <c r="AJU21" s="60"/>
      <c r="AJY21" s="60"/>
      <c r="AKC21" s="60"/>
      <c r="AKG21" s="60"/>
      <c r="AKK21" s="60"/>
      <c r="AKO21" s="60"/>
      <c r="AKS21" s="60"/>
      <c r="AKW21" s="60"/>
      <c r="ALA21" s="60"/>
      <c r="ALE21" s="60"/>
      <c r="ALI21" s="60"/>
      <c r="ALM21" s="60"/>
      <c r="ALQ21" s="60"/>
      <c r="ALU21" s="60"/>
      <c r="ALY21" s="60"/>
      <c r="AMC21" s="60"/>
      <c r="AMG21" s="60"/>
      <c r="AMK21" s="60"/>
      <c r="AMO21" s="60"/>
      <c r="AMS21" s="60"/>
      <c r="AMW21" s="60"/>
      <c r="ANA21" s="60"/>
      <c r="ANE21" s="60"/>
      <c r="ANI21" s="60"/>
      <c r="ANM21" s="60"/>
      <c r="ANQ21" s="60"/>
      <c r="ANU21" s="60"/>
      <c r="ANY21" s="60"/>
      <c r="AOC21" s="60"/>
      <c r="AOG21" s="60"/>
      <c r="AOK21" s="60"/>
      <c r="AOO21" s="60"/>
      <c r="AOS21" s="60"/>
      <c r="AOW21" s="60"/>
      <c r="APA21" s="60"/>
      <c r="APE21" s="60"/>
      <c r="API21" s="60"/>
      <c r="APM21" s="60"/>
      <c r="APQ21" s="60"/>
      <c r="APU21" s="60"/>
      <c r="APY21" s="60"/>
      <c r="AQC21" s="60"/>
      <c r="AQG21" s="60"/>
      <c r="AQK21" s="60"/>
      <c r="AQO21" s="60"/>
      <c r="AQS21" s="60"/>
      <c r="AQW21" s="60"/>
      <c r="ARA21" s="60"/>
      <c r="ARE21" s="60"/>
      <c r="ARI21" s="60"/>
      <c r="ARM21" s="60"/>
      <c r="ARQ21" s="60"/>
      <c r="ARU21" s="60"/>
      <c r="ARY21" s="60"/>
      <c r="ASC21" s="60"/>
      <c r="ASG21" s="60"/>
      <c r="ASK21" s="60"/>
      <c r="ASO21" s="60"/>
      <c r="ASS21" s="60"/>
      <c r="ASW21" s="60"/>
      <c r="ATA21" s="60"/>
      <c r="ATE21" s="60"/>
      <c r="ATI21" s="60"/>
      <c r="ATM21" s="60"/>
      <c r="ATQ21" s="60"/>
      <c r="ATU21" s="60"/>
      <c r="ATY21" s="60"/>
      <c r="AUC21" s="60"/>
      <c r="AUG21" s="60"/>
      <c r="AUK21" s="60"/>
      <c r="AUO21" s="60"/>
      <c r="AUS21" s="60"/>
      <c r="AUW21" s="60"/>
      <c r="AVA21" s="60"/>
      <c r="AVE21" s="60"/>
      <c r="AVI21" s="60"/>
      <c r="AVM21" s="60"/>
      <c r="AVQ21" s="60"/>
      <c r="AVU21" s="60"/>
      <c r="AVY21" s="60"/>
      <c r="AWC21" s="60"/>
      <c r="AWG21" s="60"/>
      <c r="AWK21" s="60"/>
      <c r="AWO21" s="60"/>
      <c r="AWS21" s="60"/>
      <c r="AWW21" s="60"/>
      <c r="AXA21" s="60"/>
      <c r="AXE21" s="60"/>
      <c r="AXI21" s="60"/>
      <c r="AXM21" s="60"/>
      <c r="AXQ21" s="60"/>
      <c r="AXU21" s="60"/>
      <c r="AXY21" s="60"/>
      <c r="AYC21" s="60"/>
      <c r="AYG21" s="60"/>
      <c r="AYK21" s="60"/>
      <c r="AYO21" s="60"/>
      <c r="AYS21" s="60"/>
      <c r="AYW21" s="60"/>
      <c r="AZA21" s="60"/>
      <c r="AZE21" s="60"/>
      <c r="AZI21" s="60"/>
      <c r="AZM21" s="60"/>
      <c r="AZQ21" s="60"/>
      <c r="AZU21" s="60"/>
      <c r="AZY21" s="60"/>
      <c r="BAC21" s="60"/>
      <c r="BAG21" s="60"/>
      <c r="BAK21" s="60"/>
      <c r="BAO21" s="60"/>
      <c r="BAS21" s="60"/>
      <c r="BAW21" s="60"/>
      <c r="BBA21" s="60"/>
      <c r="BBE21" s="60"/>
      <c r="BBI21" s="60"/>
      <c r="BBM21" s="60"/>
      <c r="BBQ21" s="60"/>
      <c r="BBU21" s="60"/>
      <c r="BBY21" s="60"/>
      <c r="BCC21" s="60"/>
      <c r="BCG21" s="60"/>
      <c r="BCK21" s="60"/>
      <c r="BCO21" s="60"/>
      <c r="BCS21" s="60"/>
      <c r="BCW21" s="60"/>
      <c r="BDA21" s="60"/>
      <c r="BDE21" s="60"/>
      <c r="BDI21" s="60"/>
      <c r="BDM21" s="60"/>
      <c r="BDQ21" s="60"/>
      <c r="BDU21" s="60"/>
      <c r="BDY21" s="60"/>
      <c r="BEC21" s="60"/>
      <c r="BEG21" s="60"/>
      <c r="BEK21" s="60"/>
      <c r="BEO21" s="60"/>
      <c r="BES21" s="60"/>
      <c r="BEW21" s="60"/>
      <c r="BFA21" s="60"/>
      <c r="BFE21" s="60"/>
      <c r="BFI21" s="60"/>
      <c r="BFM21" s="60"/>
      <c r="BFQ21" s="60"/>
      <c r="BFU21" s="60"/>
      <c r="BFY21" s="60"/>
      <c r="BGC21" s="60"/>
      <c r="BGG21" s="60"/>
      <c r="BGK21" s="60"/>
      <c r="BGO21" s="60"/>
      <c r="BGS21" s="60"/>
      <c r="BGW21" s="60"/>
      <c r="BHA21" s="60"/>
      <c r="BHE21" s="60"/>
      <c r="BHI21" s="60"/>
      <c r="BHM21" s="60"/>
      <c r="BHQ21" s="60"/>
      <c r="BHU21" s="60"/>
      <c r="BHY21" s="60"/>
      <c r="BIC21" s="60"/>
      <c r="BIG21" s="60"/>
      <c r="BIK21" s="60"/>
      <c r="BIO21" s="60"/>
      <c r="BIS21" s="60"/>
      <c r="BIW21" s="60"/>
      <c r="BJA21" s="60"/>
      <c r="BJE21" s="60"/>
      <c r="BJI21" s="60"/>
      <c r="BJM21" s="60"/>
      <c r="BJQ21" s="60"/>
      <c r="BJU21" s="60"/>
      <c r="BJY21" s="60"/>
      <c r="BKC21" s="60"/>
      <c r="BKG21" s="60"/>
      <c r="BKK21" s="60"/>
      <c r="BKO21" s="60"/>
      <c r="BKS21" s="60"/>
      <c r="BKW21" s="60"/>
      <c r="BLA21" s="60"/>
      <c r="BLE21" s="60"/>
      <c r="BLI21" s="60"/>
      <c r="BLM21" s="60"/>
      <c r="BLQ21" s="60"/>
      <c r="BLU21" s="60"/>
      <c r="BLY21" s="60"/>
      <c r="BMC21" s="60"/>
      <c r="BMG21" s="60"/>
      <c r="BMK21" s="60"/>
      <c r="BMO21" s="60"/>
      <c r="BMS21" s="60"/>
      <c r="BMW21" s="60"/>
      <c r="BNA21" s="60"/>
      <c r="BNE21" s="60"/>
      <c r="BNI21" s="60"/>
      <c r="BNM21" s="60"/>
      <c r="BNQ21" s="60"/>
      <c r="BNU21" s="60"/>
      <c r="BNY21" s="60"/>
      <c r="BOC21" s="60"/>
      <c r="BOG21" s="60"/>
      <c r="BOK21" s="60"/>
      <c r="BOO21" s="60"/>
      <c r="BOS21" s="60"/>
      <c r="BOW21" s="60"/>
      <c r="BPA21" s="60"/>
      <c r="BPE21" s="60"/>
      <c r="BPI21" s="60"/>
      <c r="BPM21" s="60"/>
      <c r="BPQ21" s="60"/>
      <c r="BPU21" s="60"/>
      <c r="BPY21" s="60"/>
      <c r="BQC21" s="60"/>
      <c r="BQG21" s="60"/>
      <c r="BQK21" s="60"/>
      <c r="BQO21" s="60"/>
      <c r="BQS21" s="60"/>
      <c r="BQW21" s="60"/>
      <c r="BRA21" s="60"/>
      <c r="BRE21" s="60"/>
      <c r="BRI21" s="60"/>
      <c r="BRM21" s="60"/>
      <c r="BRQ21" s="60"/>
      <c r="BRU21" s="60"/>
      <c r="BRY21" s="60"/>
      <c r="BSC21" s="60"/>
      <c r="BSG21" s="60"/>
      <c r="BSK21" s="60"/>
      <c r="BSO21" s="60"/>
      <c r="BSS21" s="60"/>
      <c r="BSW21" s="60"/>
      <c r="BTA21" s="60"/>
      <c r="BTE21" s="60"/>
      <c r="BTI21" s="60"/>
      <c r="BTM21" s="60"/>
      <c r="BTQ21" s="60"/>
      <c r="BTU21" s="60"/>
      <c r="BTY21" s="60"/>
      <c r="BUC21" s="60"/>
      <c r="BUG21" s="60"/>
      <c r="BUK21" s="60"/>
      <c r="BUO21" s="60"/>
      <c r="BUS21" s="60"/>
      <c r="BUW21" s="60"/>
      <c r="BVA21" s="60"/>
      <c r="BVE21" s="60"/>
      <c r="BVI21" s="60"/>
      <c r="BVM21" s="60"/>
      <c r="BVQ21" s="60"/>
      <c r="BVU21" s="60"/>
      <c r="BVY21" s="60"/>
      <c r="BWC21" s="60"/>
      <c r="BWG21" s="60"/>
      <c r="BWK21" s="60"/>
      <c r="BWO21" s="60"/>
      <c r="BWS21" s="60"/>
      <c r="BWW21" s="60"/>
      <c r="BXA21" s="60"/>
      <c r="BXE21" s="60"/>
      <c r="BXI21" s="60"/>
      <c r="BXM21" s="60"/>
      <c r="BXQ21" s="60"/>
      <c r="BXU21" s="60"/>
      <c r="BXY21" s="60"/>
      <c r="BYC21" s="60"/>
      <c r="BYG21" s="60"/>
      <c r="BYK21" s="60"/>
      <c r="BYO21" s="60"/>
      <c r="BYS21" s="60"/>
      <c r="BYW21" s="60"/>
      <c r="BZA21" s="60"/>
      <c r="BZE21" s="60"/>
      <c r="BZI21" s="60"/>
      <c r="BZM21" s="60"/>
      <c r="BZQ21" s="60"/>
      <c r="BZU21" s="60"/>
      <c r="BZY21" s="60"/>
      <c r="CAC21" s="60"/>
      <c r="CAG21" s="60"/>
      <c r="CAK21" s="60"/>
      <c r="CAO21" s="60"/>
      <c r="CAS21" s="60"/>
      <c r="CAW21" s="60"/>
      <c r="CBA21" s="60"/>
      <c r="CBE21" s="60"/>
      <c r="CBI21" s="60"/>
      <c r="CBM21" s="60"/>
      <c r="CBQ21" s="60"/>
      <c r="CBU21" s="60"/>
      <c r="CBY21" s="60"/>
      <c r="CCC21" s="60"/>
      <c r="CCG21" s="60"/>
      <c r="CCK21" s="60"/>
      <c r="CCO21" s="60"/>
      <c r="CCS21" s="60"/>
      <c r="CCW21" s="60"/>
      <c r="CDA21" s="60"/>
      <c r="CDE21" s="60"/>
      <c r="CDI21" s="60"/>
      <c r="CDM21" s="60"/>
      <c r="CDQ21" s="60"/>
      <c r="CDU21" s="60"/>
      <c r="CDY21" s="60"/>
      <c r="CEC21" s="60"/>
      <c r="CEG21" s="60"/>
      <c r="CEK21" s="60"/>
      <c r="CEO21" s="60"/>
      <c r="CES21" s="60"/>
      <c r="CEW21" s="60"/>
      <c r="CFA21" s="60"/>
      <c r="CFE21" s="60"/>
      <c r="CFI21" s="60"/>
      <c r="CFM21" s="60"/>
      <c r="CFQ21" s="60"/>
      <c r="CFU21" s="60"/>
      <c r="CFY21" s="60"/>
      <c r="CGC21" s="60"/>
      <c r="CGG21" s="60"/>
      <c r="CGK21" s="60"/>
      <c r="CGO21" s="60"/>
      <c r="CGS21" s="60"/>
      <c r="CGW21" s="60"/>
      <c r="CHA21" s="60"/>
      <c r="CHE21" s="60"/>
      <c r="CHI21" s="60"/>
      <c r="CHM21" s="60"/>
      <c r="CHQ21" s="60"/>
      <c r="CHU21" s="60"/>
      <c r="CHY21" s="60"/>
      <c r="CIC21" s="60"/>
      <c r="CIG21" s="60"/>
      <c r="CIK21" s="60"/>
      <c r="CIO21" s="60"/>
      <c r="CIS21" s="60"/>
      <c r="CIW21" s="60"/>
      <c r="CJA21" s="60"/>
      <c r="CJE21" s="60"/>
      <c r="CJI21" s="60"/>
      <c r="CJM21" s="60"/>
      <c r="CJQ21" s="60"/>
      <c r="CJU21" s="60"/>
      <c r="CJY21" s="60"/>
      <c r="CKC21" s="60"/>
      <c r="CKG21" s="60"/>
      <c r="CKK21" s="60"/>
      <c r="CKO21" s="60"/>
      <c r="CKS21" s="60"/>
      <c r="CKW21" s="60"/>
      <c r="CLA21" s="60"/>
      <c r="CLE21" s="60"/>
      <c r="CLI21" s="60"/>
      <c r="CLM21" s="60"/>
      <c r="CLQ21" s="60"/>
      <c r="CLU21" s="60"/>
      <c r="CLY21" s="60"/>
      <c r="CMC21" s="60"/>
      <c r="CMG21" s="60"/>
      <c r="CMK21" s="60"/>
      <c r="CMO21" s="60"/>
      <c r="CMS21" s="60"/>
      <c r="CMW21" s="60"/>
      <c r="CNA21" s="60"/>
      <c r="CNE21" s="60"/>
      <c r="CNI21" s="60"/>
      <c r="CNM21" s="60"/>
      <c r="CNQ21" s="60"/>
      <c r="CNU21" s="60"/>
      <c r="CNY21" s="60"/>
      <c r="COC21" s="60"/>
      <c r="COG21" s="60"/>
      <c r="COK21" s="60"/>
      <c r="COO21" s="60"/>
      <c r="COS21" s="60"/>
      <c r="COW21" s="60"/>
      <c r="CPA21" s="60"/>
      <c r="CPE21" s="60"/>
      <c r="CPI21" s="60"/>
      <c r="CPM21" s="60"/>
      <c r="CPQ21" s="60"/>
      <c r="CPU21" s="60"/>
      <c r="CPY21" s="60"/>
      <c r="CQC21" s="60"/>
      <c r="CQG21" s="60"/>
      <c r="CQK21" s="60"/>
      <c r="CQO21" s="60"/>
      <c r="CQS21" s="60"/>
      <c r="CQW21" s="60"/>
      <c r="CRA21" s="60"/>
      <c r="CRE21" s="60"/>
      <c r="CRI21" s="60"/>
      <c r="CRM21" s="60"/>
      <c r="CRQ21" s="60"/>
      <c r="CRU21" s="60"/>
      <c r="CRY21" s="60"/>
      <c r="CSC21" s="60"/>
      <c r="CSG21" s="60"/>
      <c r="CSK21" s="60"/>
      <c r="CSO21" s="60"/>
      <c r="CSS21" s="60"/>
      <c r="CSW21" s="60"/>
      <c r="CTA21" s="60"/>
      <c r="CTE21" s="60"/>
      <c r="CTI21" s="60"/>
      <c r="CTM21" s="60"/>
      <c r="CTQ21" s="60"/>
      <c r="CTU21" s="60"/>
      <c r="CTY21" s="60"/>
      <c r="CUC21" s="60"/>
      <c r="CUG21" s="60"/>
      <c r="CUK21" s="60"/>
      <c r="CUO21" s="60"/>
      <c r="CUS21" s="60"/>
      <c r="CUW21" s="60"/>
      <c r="CVA21" s="60"/>
      <c r="CVE21" s="60"/>
      <c r="CVI21" s="60"/>
      <c r="CVM21" s="60"/>
      <c r="CVQ21" s="60"/>
      <c r="CVU21" s="60"/>
      <c r="CVY21" s="60"/>
      <c r="CWC21" s="60"/>
      <c r="CWG21" s="60"/>
      <c r="CWK21" s="60"/>
      <c r="CWO21" s="60"/>
      <c r="CWS21" s="60"/>
      <c r="CWW21" s="60"/>
      <c r="CXA21" s="60"/>
      <c r="CXE21" s="60"/>
      <c r="CXI21" s="60"/>
      <c r="CXM21" s="60"/>
      <c r="CXQ21" s="60"/>
      <c r="CXU21" s="60"/>
      <c r="CXY21" s="60"/>
      <c r="CYC21" s="60"/>
      <c r="CYG21" s="60"/>
      <c r="CYK21" s="60"/>
      <c r="CYO21" s="60"/>
      <c r="CYS21" s="60"/>
      <c r="CYW21" s="60"/>
      <c r="CZA21" s="60"/>
      <c r="CZE21" s="60"/>
      <c r="CZI21" s="60"/>
      <c r="CZM21" s="60"/>
      <c r="CZQ21" s="60"/>
      <c r="CZU21" s="60"/>
      <c r="CZY21" s="60"/>
      <c r="DAC21" s="60"/>
      <c r="DAG21" s="60"/>
      <c r="DAK21" s="60"/>
      <c r="DAO21" s="60"/>
      <c r="DAS21" s="60"/>
      <c r="DAW21" s="60"/>
      <c r="DBA21" s="60"/>
      <c r="DBE21" s="60"/>
      <c r="DBI21" s="60"/>
      <c r="DBM21" s="60"/>
      <c r="DBQ21" s="60"/>
      <c r="DBU21" s="60"/>
      <c r="DBY21" s="60"/>
      <c r="DCC21" s="60"/>
      <c r="DCG21" s="60"/>
      <c r="DCK21" s="60"/>
      <c r="DCO21" s="60"/>
      <c r="DCS21" s="60"/>
      <c r="DCW21" s="60"/>
      <c r="DDA21" s="60"/>
      <c r="DDE21" s="60"/>
      <c r="DDI21" s="60"/>
      <c r="DDM21" s="60"/>
      <c r="DDQ21" s="60"/>
      <c r="DDU21" s="60"/>
      <c r="DDY21" s="60"/>
      <c r="DEC21" s="60"/>
      <c r="DEG21" s="60"/>
      <c r="DEK21" s="60"/>
      <c r="DEO21" s="60"/>
      <c r="DES21" s="60"/>
      <c r="DEW21" s="60"/>
      <c r="DFA21" s="60"/>
      <c r="DFE21" s="60"/>
      <c r="DFI21" s="60"/>
      <c r="DFM21" s="60"/>
      <c r="DFQ21" s="60"/>
      <c r="DFU21" s="60"/>
      <c r="DFY21" s="60"/>
      <c r="DGC21" s="60"/>
      <c r="DGG21" s="60"/>
      <c r="DGK21" s="60"/>
      <c r="DGO21" s="60"/>
      <c r="DGS21" s="60"/>
      <c r="DGW21" s="60"/>
      <c r="DHA21" s="60"/>
      <c r="DHE21" s="60"/>
      <c r="DHI21" s="60"/>
      <c r="DHM21" s="60"/>
      <c r="DHQ21" s="60"/>
      <c r="DHU21" s="60"/>
      <c r="DHY21" s="60"/>
      <c r="DIC21" s="60"/>
      <c r="DIG21" s="60"/>
      <c r="DIK21" s="60"/>
      <c r="DIO21" s="60"/>
      <c r="DIS21" s="60"/>
      <c r="DIW21" s="60"/>
      <c r="DJA21" s="60"/>
      <c r="DJE21" s="60"/>
      <c r="DJI21" s="60"/>
      <c r="DJM21" s="60"/>
      <c r="DJQ21" s="60"/>
      <c r="DJU21" s="60"/>
      <c r="DJY21" s="60"/>
      <c r="DKC21" s="60"/>
      <c r="DKG21" s="60"/>
      <c r="DKK21" s="60"/>
      <c r="DKO21" s="60"/>
      <c r="DKS21" s="60"/>
      <c r="DKW21" s="60"/>
      <c r="DLA21" s="60"/>
      <c r="DLE21" s="60"/>
      <c r="DLI21" s="60"/>
      <c r="DLM21" s="60"/>
      <c r="DLQ21" s="60"/>
      <c r="DLU21" s="60"/>
      <c r="DLY21" s="60"/>
      <c r="DMC21" s="60"/>
      <c r="DMG21" s="60"/>
      <c r="DMK21" s="60"/>
      <c r="DMO21" s="60"/>
      <c r="DMS21" s="60"/>
      <c r="DMW21" s="60"/>
      <c r="DNA21" s="60"/>
      <c r="DNE21" s="60"/>
      <c r="DNI21" s="60"/>
      <c r="DNM21" s="60"/>
      <c r="DNQ21" s="60"/>
      <c r="DNU21" s="60"/>
      <c r="DNY21" s="60"/>
      <c r="DOC21" s="60"/>
      <c r="DOG21" s="60"/>
      <c r="DOK21" s="60"/>
      <c r="DOO21" s="60"/>
      <c r="DOS21" s="60"/>
      <c r="DOW21" s="60"/>
      <c r="DPA21" s="60"/>
      <c r="DPE21" s="60"/>
      <c r="DPI21" s="60"/>
      <c r="DPM21" s="60"/>
      <c r="DPQ21" s="60"/>
      <c r="DPU21" s="60"/>
      <c r="DPY21" s="60"/>
      <c r="DQC21" s="60"/>
      <c r="DQG21" s="60"/>
      <c r="DQK21" s="60"/>
      <c r="DQO21" s="60"/>
      <c r="DQS21" s="60"/>
      <c r="DQW21" s="60"/>
      <c r="DRA21" s="60"/>
      <c r="DRE21" s="60"/>
      <c r="DRI21" s="60"/>
      <c r="DRM21" s="60"/>
      <c r="DRQ21" s="60"/>
      <c r="DRU21" s="60"/>
      <c r="DRY21" s="60"/>
      <c r="DSC21" s="60"/>
      <c r="DSG21" s="60"/>
      <c r="DSK21" s="60"/>
      <c r="DSO21" s="60"/>
      <c r="DSS21" s="60"/>
      <c r="DSW21" s="60"/>
      <c r="DTA21" s="60"/>
      <c r="DTE21" s="60"/>
      <c r="DTI21" s="60"/>
      <c r="DTM21" s="60"/>
      <c r="DTQ21" s="60"/>
      <c r="DTU21" s="60"/>
      <c r="DTY21" s="60"/>
      <c r="DUC21" s="60"/>
      <c r="DUG21" s="60"/>
      <c r="DUK21" s="60"/>
      <c r="DUO21" s="60"/>
      <c r="DUS21" s="60"/>
      <c r="DUW21" s="60"/>
      <c r="DVA21" s="60"/>
      <c r="DVE21" s="60"/>
      <c r="DVI21" s="60"/>
      <c r="DVM21" s="60"/>
      <c r="DVQ21" s="60"/>
      <c r="DVU21" s="60"/>
      <c r="DVY21" s="60"/>
      <c r="DWC21" s="60"/>
      <c r="DWG21" s="60"/>
      <c r="DWK21" s="60"/>
      <c r="DWO21" s="60"/>
      <c r="DWS21" s="60"/>
      <c r="DWW21" s="60"/>
      <c r="DXA21" s="60"/>
      <c r="DXE21" s="60"/>
      <c r="DXI21" s="60"/>
      <c r="DXM21" s="60"/>
      <c r="DXQ21" s="60"/>
      <c r="DXU21" s="60"/>
      <c r="DXY21" s="60"/>
      <c r="DYC21" s="60"/>
      <c r="DYG21" s="60"/>
      <c r="DYK21" s="60"/>
      <c r="DYO21" s="60"/>
      <c r="DYS21" s="60"/>
      <c r="DYW21" s="60"/>
      <c r="DZA21" s="60"/>
      <c r="DZE21" s="60"/>
      <c r="DZI21" s="60"/>
      <c r="DZM21" s="60"/>
      <c r="DZQ21" s="60"/>
      <c r="DZU21" s="60"/>
      <c r="DZY21" s="60"/>
      <c r="EAC21" s="60"/>
      <c r="EAG21" s="60"/>
      <c r="EAK21" s="60"/>
      <c r="EAO21" s="60"/>
      <c r="EAS21" s="60"/>
      <c r="EAW21" s="60"/>
      <c r="EBA21" s="60"/>
      <c r="EBE21" s="60"/>
      <c r="EBI21" s="60"/>
      <c r="EBM21" s="60"/>
      <c r="EBQ21" s="60"/>
      <c r="EBU21" s="60"/>
      <c r="EBY21" s="60"/>
      <c r="ECC21" s="60"/>
      <c r="ECG21" s="60"/>
      <c r="ECK21" s="60"/>
      <c r="ECO21" s="60"/>
      <c r="ECS21" s="60"/>
      <c r="ECW21" s="60"/>
      <c r="EDA21" s="60"/>
      <c r="EDE21" s="60"/>
      <c r="EDI21" s="60"/>
      <c r="EDM21" s="60"/>
      <c r="EDQ21" s="60"/>
      <c r="EDU21" s="60"/>
      <c r="EDY21" s="60"/>
      <c r="EEC21" s="60"/>
      <c r="EEG21" s="60"/>
      <c r="EEK21" s="60"/>
      <c r="EEO21" s="60"/>
      <c r="EES21" s="60"/>
      <c r="EEW21" s="60"/>
      <c r="EFA21" s="60"/>
      <c r="EFE21" s="60"/>
      <c r="EFI21" s="60"/>
      <c r="EFM21" s="60"/>
      <c r="EFQ21" s="60"/>
      <c r="EFU21" s="60"/>
      <c r="EFY21" s="60"/>
      <c r="EGC21" s="60"/>
      <c r="EGG21" s="60"/>
      <c r="EGK21" s="60"/>
      <c r="EGO21" s="60"/>
      <c r="EGS21" s="60"/>
      <c r="EGW21" s="60"/>
      <c r="EHA21" s="60"/>
      <c r="EHE21" s="60"/>
      <c r="EHI21" s="60"/>
      <c r="EHM21" s="60"/>
      <c r="EHQ21" s="60"/>
      <c r="EHU21" s="60"/>
      <c r="EHY21" s="60"/>
      <c r="EIC21" s="60"/>
      <c r="EIG21" s="60"/>
      <c r="EIK21" s="60"/>
      <c r="EIO21" s="60"/>
      <c r="EIS21" s="60"/>
      <c r="EIW21" s="60"/>
      <c r="EJA21" s="60"/>
      <c r="EJE21" s="60"/>
      <c r="EJI21" s="60"/>
      <c r="EJM21" s="60"/>
      <c r="EJQ21" s="60"/>
      <c r="EJU21" s="60"/>
      <c r="EJY21" s="60"/>
      <c r="EKC21" s="60"/>
      <c r="EKG21" s="60"/>
      <c r="EKK21" s="60"/>
      <c r="EKO21" s="60"/>
      <c r="EKS21" s="60"/>
      <c r="EKW21" s="60"/>
      <c r="ELA21" s="60"/>
      <c r="ELE21" s="60"/>
      <c r="ELI21" s="60"/>
      <c r="ELM21" s="60"/>
      <c r="ELQ21" s="60"/>
      <c r="ELU21" s="60"/>
      <c r="ELY21" s="60"/>
      <c r="EMC21" s="60"/>
      <c r="EMG21" s="60"/>
      <c r="EMK21" s="60"/>
      <c r="EMO21" s="60"/>
      <c r="EMS21" s="60"/>
      <c r="EMW21" s="60"/>
      <c r="ENA21" s="60"/>
      <c r="ENE21" s="60"/>
      <c r="ENI21" s="60"/>
      <c r="ENM21" s="60"/>
      <c r="ENQ21" s="60"/>
      <c r="ENU21" s="60"/>
      <c r="ENY21" s="60"/>
      <c r="EOC21" s="60"/>
      <c r="EOG21" s="60"/>
      <c r="EOK21" s="60"/>
      <c r="EOO21" s="60"/>
      <c r="EOS21" s="60"/>
      <c r="EOW21" s="60"/>
      <c r="EPA21" s="60"/>
      <c r="EPE21" s="60"/>
      <c r="EPI21" s="60"/>
      <c r="EPM21" s="60"/>
      <c r="EPQ21" s="60"/>
      <c r="EPU21" s="60"/>
      <c r="EPY21" s="60"/>
      <c r="EQC21" s="60"/>
      <c r="EQG21" s="60"/>
      <c r="EQK21" s="60"/>
      <c r="EQO21" s="60"/>
      <c r="EQS21" s="60"/>
      <c r="EQW21" s="60"/>
      <c r="ERA21" s="60"/>
      <c r="ERE21" s="60"/>
      <c r="ERI21" s="60"/>
      <c r="ERM21" s="60"/>
      <c r="ERQ21" s="60"/>
      <c r="ERU21" s="60"/>
      <c r="ERY21" s="60"/>
      <c r="ESC21" s="60"/>
      <c r="ESG21" s="60"/>
      <c r="ESK21" s="60"/>
      <c r="ESO21" s="60"/>
      <c r="ESS21" s="60"/>
      <c r="ESW21" s="60"/>
      <c r="ETA21" s="60"/>
      <c r="ETE21" s="60"/>
      <c r="ETI21" s="60"/>
      <c r="ETM21" s="60"/>
      <c r="ETQ21" s="60"/>
      <c r="ETU21" s="60"/>
      <c r="ETY21" s="60"/>
      <c r="EUC21" s="60"/>
      <c r="EUG21" s="60"/>
      <c r="EUK21" s="60"/>
      <c r="EUO21" s="60"/>
      <c r="EUS21" s="60"/>
      <c r="EUW21" s="60"/>
      <c r="EVA21" s="60"/>
      <c r="EVE21" s="60"/>
      <c r="EVI21" s="60"/>
      <c r="EVM21" s="60"/>
      <c r="EVQ21" s="60"/>
      <c r="EVU21" s="60"/>
      <c r="EVY21" s="60"/>
      <c r="EWC21" s="60"/>
      <c r="EWG21" s="60"/>
      <c r="EWK21" s="60"/>
      <c r="EWO21" s="60"/>
      <c r="EWS21" s="60"/>
      <c r="EWW21" s="60"/>
      <c r="EXA21" s="60"/>
      <c r="EXE21" s="60"/>
      <c r="EXI21" s="60"/>
      <c r="EXM21" s="60"/>
      <c r="EXQ21" s="60"/>
      <c r="EXU21" s="60"/>
      <c r="EXY21" s="60"/>
      <c r="EYC21" s="60"/>
      <c r="EYG21" s="60"/>
      <c r="EYK21" s="60"/>
      <c r="EYO21" s="60"/>
      <c r="EYS21" s="60"/>
      <c r="EYW21" s="60"/>
      <c r="EZA21" s="60"/>
      <c r="EZE21" s="60"/>
      <c r="EZI21" s="60"/>
      <c r="EZM21" s="60"/>
      <c r="EZQ21" s="60"/>
      <c r="EZU21" s="60"/>
      <c r="EZY21" s="60"/>
      <c r="FAC21" s="60"/>
      <c r="FAG21" s="60"/>
      <c r="FAK21" s="60"/>
      <c r="FAO21" s="60"/>
      <c r="FAS21" s="60"/>
      <c r="FAW21" s="60"/>
      <c r="FBA21" s="60"/>
      <c r="FBE21" s="60"/>
      <c r="FBI21" s="60"/>
      <c r="FBM21" s="60"/>
      <c r="FBQ21" s="60"/>
      <c r="FBU21" s="60"/>
      <c r="FBY21" s="60"/>
      <c r="FCC21" s="60"/>
      <c r="FCG21" s="60"/>
      <c r="FCK21" s="60"/>
      <c r="FCO21" s="60"/>
      <c r="FCS21" s="60"/>
      <c r="FCW21" s="60"/>
      <c r="FDA21" s="60"/>
      <c r="FDE21" s="60"/>
      <c r="FDI21" s="60"/>
      <c r="FDM21" s="60"/>
      <c r="FDQ21" s="60"/>
      <c r="FDU21" s="60"/>
      <c r="FDY21" s="60"/>
      <c r="FEC21" s="60"/>
      <c r="FEG21" s="60"/>
      <c r="FEK21" s="60"/>
      <c r="FEO21" s="60"/>
      <c r="FES21" s="60"/>
      <c r="FEW21" s="60"/>
      <c r="FFA21" s="60"/>
      <c r="FFE21" s="60"/>
      <c r="FFI21" s="60"/>
      <c r="FFM21" s="60"/>
      <c r="FFQ21" s="60"/>
      <c r="FFU21" s="60"/>
      <c r="FFY21" s="60"/>
      <c r="FGC21" s="60"/>
      <c r="FGG21" s="60"/>
      <c r="FGK21" s="60"/>
      <c r="FGO21" s="60"/>
      <c r="FGS21" s="60"/>
      <c r="FGW21" s="60"/>
      <c r="FHA21" s="60"/>
      <c r="FHE21" s="60"/>
      <c r="FHI21" s="60"/>
      <c r="FHM21" s="60"/>
      <c r="FHQ21" s="60"/>
      <c r="FHU21" s="60"/>
      <c r="FHY21" s="60"/>
      <c r="FIC21" s="60"/>
      <c r="FIG21" s="60"/>
      <c r="FIK21" s="60"/>
      <c r="FIO21" s="60"/>
      <c r="FIS21" s="60"/>
      <c r="FIW21" s="60"/>
      <c r="FJA21" s="60"/>
      <c r="FJE21" s="60"/>
      <c r="FJI21" s="60"/>
      <c r="FJM21" s="60"/>
      <c r="FJQ21" s="60"/>
      <c r="FJU21" s="60"/>
      <c r="FJY21" s="60"/>
      <c r="FKC21" s="60"/>
      <c r="FKG21" s="60"/>
      <c r="FKK21" s="60"/>
      <c r="FKO21" s="60"/>
      <c r="FKS21" s="60"/>
      <c r="FKW21" s="60"/>
      <c r="FLA21" s="60"/>
      <c r="FLE21" s="60"/>
      <c r="FLI21" s="60"/>
      <c r="FLM21" s="60"/>
      <c r="FLQ21" s="60"/>
      <c r="FLU21" s="60"/>
      <c r="FLY21" s="60"/>
      <c r="FMC21" s="60"/>
      <c r="FMG21" s="60"/>
      <c r="FMK21" s="60"/>
      <c r="FMO21" s="60"/>
      <c r="FMS21" s="60"/>
      <c r="FMW21" s="60"/>
      <c r="FNA21" s="60"/>
      <c r="FNE21" s="60"/>
      <c r="FNI21" s="60"/>
      <c r="FNM21" s="60"/>
      <c r="FNQ21" s="60"/>
      <c r="FNU21" s="60"/>
      <c r="FNY21" s="60"/>
      <c r="FOC21" s="60"/>
      <c r="FOG21" s="60"/>
      <c r="FOK21" s="60"/>
      <c r="FOO21" s="60"/>
      <c r="FOS21" s="60"/>
      <c r="FOW21" s="60"/>
      <c r="FPA21" s="60"/>
      <c r="FPE21" s="60"/>
      <c r="FPI21" s="60"/>
      <c r="FPM21" s="60"/>
      <c r="FPQ21" s="60"/>
      <c r="FPU21" s="60"/>
      <c r="FPY21" s="60"/>
      <c r="FQC21" s="60"/>
      <c r="FQG21" s="60"/>
      <c r="FQK21" s="60"/>
      <c r="FQO21" s="60"/>
      <c r="FQS21" s="60"/>
      <c r="FQW21" s="60"/>
      <c r="FRA21" s="60"/>
      <c r="FRE21" s="60"/>
      <c r="FRI21" s="60"/>
      <c r="FRM21" s="60"/>
      <c r="FRQ21" s="60"/>
      <c r="FRU21" s="60"/>
      <c r="FRY21" s="60"/>
      <c r="FSC21" s="60"/>
      <c r="FSG21" s="60"/>
      <c r="FSK21" s="60"/>
      <c r="FSO21" s="60"/>
      <c r="FSS21" s="60"/>
      <c r="FSW21" s="60"/>
      <c r="FTA21" s="60"/>
      <c r="FTE21" s="60"/>
      <c r="FTI21" s="60"/>
      <c r="FTM21" s="60"/>
      <c r="FTQ21" s="60"/>
      <c r="FTU21" s="60"/>
      <c r="FTY21" s="60"/>
      <c r="FUC21" s="60"/>
      <c r="FUG21" s="60"/>
      <c r="FUK21" s="60"/>
      <c r="FUO21" s="60"/>
      <c r="FUS21" s="60"/>
      <c r="FUW21" s="60"/>
      <c r="FVA21" s="60"/>
      <c r="FVE21" s="60"/>
      <c r="FVI21" s="60"/>
      <c r="FVM21" s="60"/>
      <c r="FVQ21" s="60"/>
      <c r="FVU21" s="60"/>
      <c r="FVY21" s="60"/>
      <c r="FWC21" s="60"/>
      <c r="FWG21" s="60"/>
      <c r="FWK21" s="60"/>
      <c r="FWO21" s="60"/>
      <c r="FWS21" s="60"/>
      <c r="FWW21" s="60"/>
      <c r="FXA21" s="60"/>
      <c r="FXE21" s="60"/>
      <c r="FXI21" s="60"/>
      <c r="FXM21" s="60"/>
      <c r="FXQ21" s="60"/>
      <c r="FXU21" s="60"/>
      <c r="FXY21" s="60"/>
      <c r="FYC21" s="60"/>
      <c r="FYG21" s="60"/>
      <c r="FYK21" s="60"/>
      <c r="FYO21" s="60"/>
      <c r="FYS21" s="60"/>
      <c r="FYW21" s="60"/>
      <c r="FZA21" s="60"/>
      <c r="FZE21" s="60"/>
      <c r="FZI21" s="60"/>
      <c r="FZM21" s="60"/>
      <c r="FZQ21" s="60"/>
      <c r="FZU21" s="60"/>
      <c r="FZY21" s="60"/>
      <c r="GAC21" s="60"/>
      <c r="GAG21" s="60"/>
      <c r="GAK21" s="60"/>
      <c r="GAO21" s="60"/>
      <c r="GAS21" s="60"/>
      <c r="GAW21" s="60"/>
      <c r="GBA21" s="60"/>
      <c r="GBE21" s="60"/>
      <c r="GBI21" s="60"/>
      <c r="GBM21" s="60"/>
      <c r="GBQ21" s="60"/>
      <c r="GBU21" s="60"/>
      <c r="GBY21" s="60"/>
      <c r="GCC21" s="60"/>
      <c r="GCG21" s="60"/>
      <c r="GCK21" s="60"/>
      <c r="GCO21" s="60"/>
      <c r="GCS21" s="60"/>
      <c r="GCW21" s="60"/>
      <c r="GDA21" s="60"/>
      <c r="GDE21" s="60"/>
      <c r="GDI21" s="60"/>
      <c r="GDM21" s="60"/>
      <c r="GDQ21" s="60"/>
      <c r="GDU21" s="60"/>
      <c r="GDY21" s="60"/>
      <c r="GEC21" s="60"/>
      <c r="GEG21" s="60"/>
      <c r="GEK21" s="60"/>
      <c r="GEO21" s="60"/>
      <c r="GES21" s="60"/>
      <c r="GEW21" s="60"/>
      <c r="GFA21" s="60"/>
      <c r="GFE21" s="60"/>
      <c r="GFI21" s="60"/>
      <c r="GFM21" s="60"/>
      <c r="GFQ21" s="60"/>
      <c r="GFU21" s="60"/>
      <c r="GFY21" s="60"/>
      <c r="GGC21" s="60"/>
      <c r="GGG21" s="60"/>
      <c r="GGK21" s="60"/>
      <c r="GGO21" s="60"/>
      <c r="GGS21" s="60"/>
      <c r="GGW21" s="60"/>
      <c r="GHA21" s="60"/>
      <c r="GHE21" s="60"/>
      <c r="GHI21" s="60"/>
      <c r="GHM21" s="60"/>
      <c r="GHQ21" s="60"/>
      <c r="GHU21" s="60"/>
      <c r="GHY21" s="60"/>
      <c r="GIC21" s="60"/>
      <c r="GIG21" s="60"/>
      <c r="GIK21" s="60"/>
      <c r="GIO21" s="60"/>
      <c r="GIS21" s="60"/>
      <c r="GIW21" s="60"/>
      <c r="GJA21" s="60"/>
      <c r="GJE21" s="60"/>
      <c r="GJI21" s="60"/>
      <c r="GJM21" s="60"/>
      <c r="GJQ21" s="60"/>
      <c r="GJU21" s="60"/>
      <c r="GJY21" s="60"/>
      <c r="GKC21" s="60"/>
      <c r="GKG21" s="60"/>
      <c r="GKK21" s="60"/>
      <c r="GKO21" s="60"/>
      <c r="GKS21" s="60"/>
      <c r="GKW21" s="60"/>
      <c r="GLA21" s="60"/>
      <c r="GLE21" s="60"/>
      <c r="GLI21" s="60"/>
      <c r="GLM21" s="60"/>
      <c r="GLQ21" s="60"/>
      <c r="GLU21" s="60"/>
      <c r="GLY21" s="60"/>
      <c r="GMC21" s="60"/>
      <c r="GMG21" s="60"/>
      <c r="GMK21" s="60"/>
      <c r="GMO21" s="60"/>
      <c r="GMS21" s="60"/>
      <c r="GMW21" s="60"/>
      <c r="GNA21" s="60"/>
      <c r="GNE21" s="60"/>
      <c r="GNI21" s="60"/>
      <c r="GNM21" s="60"/>
      <c r="GNQ21" s="60"/>
      <c r="GNU21" s="60"/>
      <c r="GNY21" s="60"/>
      <c r="GOC21" s="60"/>
      <c r="GOG21" s="60"/>
      <c r="GOK21" s="60"/>
      <c r="GOO21" s="60"/>
      <c r="GOS21" s="60"/>
      <c r="GOW21" s="60"/>
      <c r="GPA21" s="60"/>
      <c r="GPE21" s="60"/>
      <c r="GPI21" s="60"/>
      <c r="GPM21" s="60"/>
      <c r="GPQ21" s="60"/>
      <c r="GPU21" s="60"/>
      <c r="GPY21" s="60"/>
      <c r="GQC21" s="60"/>
      <c r="GQG21" s="60"/>
      <c r="GQK21" s="60"/>
      <c r="GQO21" s="60"/>
      <c r="GQS21" s="60"/>
      <c r="GQW21" s="60"/>
      <c r="GRA21" s="60"/>
      <c r="GRE21" s="60"/>
      <c r="GRI21" s="60"/>
      <c r="GRM21" s="60"/>
      <c r="GRQ21" s="60"/>
      <c r="GRU21" s="60"/>
      <c r="GRY21" s="60"/>
      <c r="GSC21" s="60"/>
      <c r="GSG21" s="60"/>
      <c r="GSK21" s="60"/>
      <c r="GSO21" s="60"/>
      <c r="GSS21" s="60"/>
      <c r="GSW21" s="60"/>
      <c r="GTA21" s="60"/>
      <c r="GTE21" s="60"/>
      <c r="GTI21" s="60"/>
      <c r="GTM21" s="60"/>
      <c r="GTQ21" s="60"/>
      <c r="GTU21" s="60"/>
      <c r="GTY21" s="60"/>
      <c r="GUC21" s="60"/>
      <c r="GUG21" s="60"/>
      <c r="GUK21" s="60"/>
      <c r="GUO21" s="60"/>
      <c r="GUS21" s="60"/>
      <c r="GUW21" s="60"/>
      <c r="GVA21" s="60"/>
      <c r="GVE21" s="60"/>
      <c r="GVI21" s="60"/>
      <c r="GVM21" s="60"/>
      <c r="GVQ21" s="60"/>
      <c r="GVU21" s="60"/>
      <c r="GVY21" s="60"/>
      <c r="GWC21" s="60"/>
      <c r="GWG21" s="60"/>
      <c r="GWK21" s="60"/>
      <c r="GWO21" s="60"/>
      <c r="GWS21" s="60"/>
      <c r="GWW21" s="60"/>
      <c r="GXA21" s="60"/>
      <c r="GXE21" s="60"/>
      <c r="GXI21" s="60"/>
      <c r="GXM21" s="60"/>
      <c r="GXQ21" s="60"/>
      <c r="GXU21" s="60"/>
      <c r="GXY21" s="60"/>
      <c r="GYC21" s="60"/>
      <c r="GYG21" s="60"/>
      <c r="GYK21" s="60"/>
      <c r="GYO21" s="60"/>
      <c r="GYS21" s="60"/>
      <c r="GYW21" s="60"/>
      <c r="GZA21" s="60"/>
      <c r="GZE21" s="60"/>
      <c r="GZI21" s="60"/>
      <c r="GZM21" s="60"/>
      <c r="GZQ21" s="60"/>
      <c r="GZU21" s="60"/>
      <c r="GZY21" s="60"/>
      <c r="HAC21" s="60"/>
      <c r="HAG21" s="60"/>
      <c r="HAK21" s="60"/>
      <c r="HAO21" s="60"/>
      <c r="HAS21" s="60"/>
      <c r="HAW21" s="60"/>
      <c r="HBA21" s="60"/>
      <c r="HBE21" s="60"/>
      <c r="HBI21" s="60"/>
      <c r="HBM21" s="60"/>
      <c r="HBQ21" s="60"/>
      <c r="HBU21" s="60"/>
      <c r="HBY21" s="60"/>
      <c r="HCC21" s="60"/>
      <c r="HCG21" s="60"/>
      <c r="HCK21" s="60"/>
      <c r="HCO21" s="60"/>
      <c r="HCS21" s="60"/>
      <c r="HCW21" s="60"/>
      <c r="HDA21" s="60"/>
      <c r="HDE21" s="60"/>
      <c r="HDI21" s="60"/>
      <c r="HDM21" s="60"/>
      <c r="HDQ21" s="60"/>
      <c r="HDU21" s="60"/>
      <c r="HDY21" s="60"/>
      <c r="HEC21" s="60"/>
      <c r="HEG21" s="60"/>
      <c r="HEK21" s="60"/>
      <c r="HEO21" s="60"/>
      <c r="HES21" s="60"/>
      <c r="HEW21" s="60"/>
      <c r="HFA21" s="60"/>
      <c r="HFE21" s="60"/>
      <c r="HFI21" s="60"/>
      <c r="HFM21" s="60"/>
      <c r="HFQ21" s="60"/>
      <c r="HFU21" s="60"/>
      <c r="HFY21" s="60"/>
      <c r="HGC21" s="60"/>
      <c r="HGG21" s="60"/>
      <c r="HGK21" s="60"/>
      <c r="HGO21" s="60"/>
      <c r="HGS21" s="60"/>
      <c r="HGW21" s="60"/>
      <c r="HHA21" s="60"/>
      <c r="HHE21" s="60"/>
      <c r="HHI21" s="60"/>
      <c r="HHM21" s="60"/>
      <c r="HHQ21" s="60"/>
      <c r="HHU21" s="60"/>
      <c r="HHY21" s="60"/>
      <c r="HIC21" s="60"/>
      <c r="HIG21" s="60"/>
      <c r="HIK21" s="60"/>
      <c r="HIO21" s="60"/>
      <c r="HIS21" s="60"/>
      <c r="HIW21" s="60"/>
      <c r="HJA21" s="60"/>
      <c r="HJE21" s="60"/>
      <c r="HJI21" s="60"/>
      <c r="HJM21" s="60"/>
      <c r="HJQ21" s="60"/>
      <c r="HJU21" s="60"/>
      <c r="HJY21" s="60"/>
      <c r="HKC21" s="60"/>
      <c r="HKG21" s="60"/>
      <c r="HKK21" s="60"/>
      <c r="HKO21" s="60"/>
      <c r="HKS21" s="60"/>
      <c r="HKW21" s="60"/>
      <c r="HLA21" s="60"/>
      <c r="HLE21" s="60"/>
      <c r="HLI21" s="60"/>
      <c r="HLM21" s="60"/>
      <c r="HLQ21" s="60"/>
      <c r="HLU21" s="60"/>
      <c r="HLY21" s="60"/>
      <c r="HMC21" s="60"/>
      <c r="HMG21" s="60"/>
      <c r="HMK21" s="60"/>
      <c r="HMO21" s="60"/>
      <c r="HMS21" s="60"/>
      <c r="HMW21" s="60"/>
      <c r="HNA21" s="60"/>
      <c r="HNE21" s="60"/>
      <c r="HNI21" s="60"/>
      <c r="HNM21" s="60"/>
      <c r="HNQ21" s="60"/>
      <c r="HNU21" s="60"/>
      <c r="HNY21" s="60"/>
      <c r="HOC21" s="60"/>
      <c r="HOG21" s="60"/>
      <c r="HOK21" s="60"/>
      <c r="HOO21" s="60"/>
      <c r="HOS21" s="60"/>
      <c r="HOW21" s="60"/>
      <c r="HPA21" s="60"/>
      <c r="HPE21" s="60"/>
      <c r="HPI21" s="60"/>
      <c r="HPM21" s="60"/>
      <c r="HPQ21" s="60"/>
      <c r="HPU21" s="60"/>
      <c r="HPY21" s="60"/>
      <c r="HQC21" s="60"/>
      <c r="HQG21" s="60"/>
      <c r="HQK21" s="60"/>
      <c r="HQO21" s="60"/>
      <c r="HQS21" s="60"/>
      <c r="HQW21" s="60"/>
      <c r="HRA21" s="60"/>
      <c r="HRE21" s="60"/>
      <c r="HRI21" s="60"/>
      <c r="HRM21" s="60"/>
      <c r="HRQ21" s="60"/>
      <c r="HRU21" s="60"/>
      <c r="HRY21" s="60"/>
      <c r="HSC21" s="60"/>
      <c r="HSG21" s="60"/>
      <c r="HSK21" s="60"/>
      <c r="HSO21" s="60"/>
      <c r="HSS21" s="60"/>
      <c r="HSW21" s="60"/>
      <c r="HTA21" s="60"/>
      <c r="HTE21" s="60"/>
      <c r="HTI21" s="60"/>
      <c r="HTM21" s="60"/>
      <c r="HTQ21" s="60"/>
      <c r="HTU21" s="60"/>
      <c r="HTY21" s="60"/>
      <c r="HUC21" s="60"/>
      <c r="HUG21" s="60"/>
      <c r="HUK21" s="60"/>
      <c r="HUO21" s="60"/>
      <c r="HUS21" s="60"/>
      <c r="HUW21" s="60"/>
      <c r="HVA21" s="60"/>
      <c r="HVE21" s="60"/>
      <c r="HVI21" s="60"/>
      <c r="HVM21" s="60"/>
      <c r="HVQ21" s="60"/>
      <c r="HVU21" s="60"/>
      <c r="HVY21" s="60"/>
      <c r="HWC21" s="60"/>
      <c r="HWG21" s="60"/>
      <c r="HWK21" s="60"/>
      <c r="HWO21" s="60"/>
      <c r="HWS21" s="60"/>
      <c r="HWW21" s="60"/>
      <c r="HXA21" s="60"/>
      <c r="HXE21" s="60"/>
      <c r="HXI21" s="60"/>
      <c r="HXM21" s="60"/>
      <c r="HXQ21" s="60"/>
      <c r="HXU21" s="60"/>
      <c r="HXY21" s="60"/>
      <c r="HYC21" s="60"/>
      <c r="HYG21" s="60"/>
      <c r="HYK21" s="60"/>
      <c r="HYO21" s="60"/>
      <c r="HYS21" s="60"/>
      <c r="HYW21" s="60"/>
      <c r="HZA21" s="60"/>
      <c r="HZE21" s="60"/>
      <c r="HZI21" s="60"/>
      <c r="HZM21" s="60"/>
      <c r="HZQ21" s="60"/>
      <c r="HZU21" s="60"/>
      <c r="HZY21" s="60"/>
      <c r="IAC21" s="60"/>
      <c r="IAG21" s="60"/>
      <c r="IAK21" s="60"/>
      <c r="IAO21" s="60"/>
      <c r="IAS21" s="60"/>
      <c r="IAW21" s="60"/>
      <c r="IBA21" s="60"/>
      <c r="IBE21" s="60"/>
      <c r="IBI21" s="60"/>
      <c r="IBM21" s="60"/>
      <c r="IBQ21" s="60"/>
      <c r="IBU21" s="60"/>
      <c r="IBY21" s="60"/>
      <c r="ICC21" s="60"/>
      <c r="ICG21" s="60"/>
      <c r="ICK21" s="60"/>
      <c r="ICO21" s="60"/>
      <c r="ICS21" s="60"/>
      <c r="ICW21" s="60"/>
      <c r="IDA21" s="60"/>
      <c r="IDE21" s="60"/>
      <c r="IDI21" s="60"/>
      <c r="IDM21" s="60"/>
      <c r="IDQ21" s="60"/>
      <c r="IDU21" s="60"/>
      <c r="IDY21" s="60"/>
      <c r="IEC21" s="60"/>
      <c r="IEG21" s="60"/>
      <c r="IEK21" s="60"/>
      <c r="IEO21" s="60"/>
      <c r="IES21" s="60"/>
      <c r="IEW21" s="60"/>
      <c r="IFA21" s="60"/>
      <c r="IFE21" s="60"/>
      <c r="IFI21" s="60"/>
      <c r="IFM21" s="60"/>
      <c r="IFQ21" s="60"/>
      <c r="IFU21" s="60"/>
      <c r="IFY21" s="60"/>
      <c r="IGC21" s="60"/>
      <c r="IGG21" s="60"/>
      <c r="IGK21" s="60"/>
      <c r="IGO21" s="60"/>
      <c r="IGS21" s="60"/>
      <c r="IGW21" s="60"/>
      <c r="IHA21" s="60"/>
      <c r="IHE21" s="60"/>
      <c r="IHI21" s="60"/>
      <c r="IHM21" s="60"/>
      <c r="IHQ21" s="60"/>
      <c r="IHU21" s="60"/>
      <c r="IHY21" s="60"/>
      <c r="IIC21" s="60"/>
      <c r="IIG21" s="60"/>
      <c r="IIK21" s="60"/>
      <c r="IIO21" s="60"/>
      <c r="IIS21" s="60"/>
      <c r="IIW21" s="60"/>
      <c r="IJA21" s="60"/>
      <c r="IJE21" s="60"/>
      <c r="IJI21" s="60"/>
      <c r="IJM21" s="60"/>
      <c r="IJQ21" s="60"/>
      <c r="IJU21" s="60"/>
      <c r="IJY21" s="60"/>
      <c r="IKC21" s="60"/>
      <c r="IKG21" s="60"/>
      <c r="IKK21" s="60"/>
      <c r="IKO21" s="60"/>
      <c r="IKS21" s="60"/>
      <c r="IKW21" s="60"/>
      <c r="ILA21" s="60"/>
      <c r="ILE21" s="60"/>
      <c r="ILI21" s="60"/>
      <c r="ILM21" s="60"/>
      <c r="ILQ21" s="60"/>
      <c r="ILU21" s="60"/>
      <c r="ILY21" s="60"/>
      <c r="IMC21" s="60"/>
      <c r="IMG21" s="60"/>
      <c r="IMK21" s="60"/>
      <c r="IMO21" s="60"/>
      <c r="IMS21" s="60"/>
      <c r="IMW21" s="60"/>
      <c r="INA21" s="60"/>
      <c r="INE21" s="60"/>
      <c r="INI21" s="60"/>
      <c r="INM21" s="60"/>
      <c r="INQ21" s="60"/>
      <c r="INU21" s="60"/>
      <c r="INY21" s="60"/>
      <c r="IOC21" s="60"/>
      <c r="IOG21" s="60"/>
      <c r="IOK21" s="60"/>
      <c r="IOO21" s="60"/>
      <c r="IOS21" s="60"/>
      <c r="IOW21" s="60"/>
      <c r="IPA21" s="60"/>
      <c r="IPE21" s="60"/>
      <c r="IPI21" s="60"/>
      <c r="IPM21" s="60"/>
      <c r="IPQ21" s="60"/>
      <c r="IPU21" s="60"/>
      <c r="IPY21" s="60"/>
      <c r="IQC21" s="60"/>
      <c r="IQG21" s="60"/>
      <c r="IQK21" s="60"/>
      <c r="IQO21" s="60"/>
      <c r="IQS21" s="60"/>
      <c r="IQW21" s="60"/>
      <c r="IRA21" s="60"/>
      <c r="IRE21" s="60"/>
      <c r="IRI21" s="60"/>
      <c r="IRM21" s="60"/>
      <c r="IRQ21" s="60"/>
      <c r="IRU21" s="60"/>
      <c r="IRY21" s="60"/>
      <c r="ISC21" s="60"/>
      <c r="ISG21" s="60"/>
      <c r="ISK21" s="60"/>
      <c r="ISO21" s="60"/>
      <c r="ISS21" s="60"/>
      <c r="ISW21" s="60"/>
      <c r="ITA21" s="60"/>
      <c r="ITE21" s="60"/>
      <c r="ITI21" s="60"/>
      <c r="ITM21" s="60"/>
      <c r="ITQ21" s="60"/>
      <c r="ITU21" s="60"/>
      <c r="ITY21" s="60"/>
      <c r="IUC21" s="60"/>
      <c r="IUG21" s="60"/>
      <c r="IUK21" s="60"/>
      <c r="IUO21" s="60"/>
      <c r="IUS21" s="60"/>
      <c r="IUW21" s="60"/>
      <c r="IVA21" s="60"/>
      <c r="IVE21" s="60"/>
      <c r="IVI21" s="60"/>
      <c r="IVM21" s="60"/>
      <c r="IVQ21" s="60"/>
      <c r="IVU21" s="60"/>
      <c r="IVY21" s="60"/>
      <c r="IWC21" s="60"/>
      <c r="IWG21" s="60"/>
      <c r="IWK21" s="60"/>
      <c r="IWO21" s="60"/>
      <c r="IWS21" s="60"/>
      <c r="IWW21" s="60"/>
      <c r="IXA21" s="60"/>
      <c r="IXE21" s="60"/>
      <c r="IXI21" s="60"/>
      <c r="IXM21" s="60"/>
      <c r="IXQ21" s="60"/>
      <c r="IXU21" s="60"/>
      <c r="IXY21" s="60"/>
      <c r="IYC21" s="60"/>
      <c r="IYG21" s="60"/>
      <c r="IYK21" s="60"/>
      <c r="IYO21" s="60"/>
      <c r="IYS21" s="60"/>
      <c r="IYW21" s="60"/>
      <c r="IZA21" s="60"/>
      <c r="IZE21" s="60"/>
      <c r="IZI21" s="60"/>
      <c r="IZM21" s="60"/>
      <c r="IZQ21" s="60"/>
      <c r="IZU21" s="60"/>
      <c r="IZY21" s="60"/>
      <c r="JAC21" s="60"/>
      <c r="JAG21" s="60"/>
      <c r="JAK21" s="60"/>
      <c r="JAO21" s="60"/>
      <c r="JAS21" s="60"/>
      <c r="JAW21" s="60"/>
      <c r="JBA21" s="60"/>
      <c r="JBE21" s="60"/>
      <c r="JBI21" s="60"/>
      <c r="JBM21" s="60"/>
      <c r="JBQ21" s="60"/>
      <c r="JBU21" s="60"/>
      <c r="JBY21" s="60"/>
      <c r="JCC21" s="60"/>
      <c r="JCG21" s="60"/>
      <c r="JCK21" s="60"/>
      <c r="JCO21" s="60"/>
      <c r="JCS21" s="60"/>
      <c r="JCW21" s="60"/>
      <c r="JDA21" s="60"/>
      <c r="JDE21" s="60"/>
      <c r="JDI21" s="60"/>
      <c r="JDM21" s="60"/>
      <c r="JDQ21" s="60"/>
      <c r="JDU21" s="60"/>
      <c r="JDY21" s="60"/>
      <c r="JEC21" s="60"/>
      <c r="JEG21" s="60"/>
      <c r="JEK21" s="60"/>
      <c r="JEO21" s="60"/>
      <c r="JES21" s="60"/>
      <c r="JEW21" s="60"/>
      <c r="JFA21" s="60"/>
      <c r="JFE21" s="60"/>
      <c r="JFI21" s="60"/>
      <c r="JFM21" s="60"/>
      <c r="JFQ21" s="60"/>
      <c r="JFU21" s="60"/>
      <c r="JFY21" s="60"/>
      <c r="JGC21" s="60"/>
      <c r="JGG21" s="60"/>
      <c r="JGK21" s="60"/>
      <c r="JGO21" s="60"/>
      <c r="JGS21" s="60"/>
      <c r="JGW21" s="60"/>
      <c r="JHA21" s="60"/>
      <c r="JHE21" s="60"/>
      <c r="JHI21" s="60"/>
      <c r="JHM21" s="60"/>
      <c r="JHQ21" s="60"/>
      <c r="JHU21" s="60"/>
      <c r="JHY21" s="60"/>
      <c r="JIC21" s="60"/>
      <c r="JIG21" s="60"/>
      <c r="JIK21" s="60"/>
      <c r="JIO21" s="60"/>
      <c r="JIS21" s="60"/>
      <c r="JIW21" s="60"/>
      <c r="JJA21" s="60"/>
      <c r="JJE21" s="60"/>
      <c r="JJI21" s="60"/>
      <c r="JJM21" s="60"/>
      <c r="JJQ21" s="60"/>
      <c r="JJU21" s="60"/>
      <c r="JJY21" s="60"/>
      <c r="JKC21" s="60"/>
      <c r="JKG21" s="60"/>
      <c r="JKK21" s="60"/>
      <c r="JKO21" s="60"/>
      <c r="JKS21" s="60"/>
      <c r="JKW21" s="60"/>
      <c r="JLA21" s="60"/>
      <c r="JLE21" s="60"/>
      <c r="JLI21" s="60"/>
      <c r="JLM21" s="60"/>
      <c r="JLQ21" s="60"/>
      <c r="JLU21" s="60"/>
      <c r="JLY21" s="60"/>
      <c r="JMC21" s="60"/>
      <c r="JMG21" s="60"/>
      <c r="JMK21" s="60"/>
      <c r="JMO21" s="60"/>
      <c r="JMS21" s="60"/>
      <c r="JMW21" s="60"/>
      <c r="JNA21" s="60"/>
      <c r="JNE21" s="60"/>
      <c r="JNI21" s="60"/>
      <c r="JNM21" s="60"/>
      <c r="JNQ21" s="60"/>
      <c r="JNU21" s="60"/>
      <c r="JNY21" s="60"/>
      <c r="JOC21" s="60"/>
      <c r="JOG21" s="60"/>
      <c r="JOK21" s="60"/>
      <c r="JOO21" s="60"/>
      <c r="JOS21" s="60"/>
      <c r="JOW21" s="60"/>
      <c r="JPA21" s="60"/>
      <c r="JPE21" s="60"/>
      <c r="JPI21" s="60"/>
      <c r="JPM21" s="60"/>
      <c r="JPQ21" s="60"/>
      <c r="JPU21" s="60"/>
      <c r="JPY21" s="60"/>
      <c r="JQC21" s="60"/>
      <c r="JQG21" s="60"/>
      <c r="JQK21" s="60"/>
      <c r="JQO21" s="60"/>
      <c r="JQS21" s="60"/>
      <c r="JQW21" s="60"/>
      <c r="JRA21" s="60"/>
      <c r="JRE21" s="60"/>
      <c r="JRI21" s="60"/>
      <c r="JRM21" s="60"/>
      <c r="JRQ21" s="60"/>
      <c r="JRU21" s="60"/>
      <c r="JRY21" s="60"/>
      <c r="JSC21" s="60"/>
      <c r="JSG21" s="60"/>
      <c r="JSK21" s="60"/>
      <c r="JSO21" s="60"/>
      <c r="JSS21" s="60"/>
      <c r="JSW21" s="60"/>
      <c r="JTA21" s="60"/>
      <c r="JTE21" s="60"/>
      <c r="JTI21" s="60"/>
      <c r="JTM21" s="60"/>
      <c r="JTQ21" s="60"/>
      <c r="JTU21" s="60"/>
      <c r="JTY21" s="60"/>
      <c r="JUC21" s="60"/>
      <c r="JUG21" s="60"/>
      <c r="JUK21" s="60"/>
      <c r="JUO21" s="60"/>
      <c r="JUS21" s="60"/>
      <c r="JUW21" s="60"/>
      <c r="JVA21" s="60"/>
      <c r="JVE21" s="60"/>
      <c r="JVI21" s="60"/>
      <c r="JVM21" s="60"/>
      <c r="JVQ21" s="60"/>
      <c r="JVU21" s="60"/>
      <c r="JVY21" s="60"/>
      <c r="JWC21" s="60"/>
      <c r="JWG21" s="60"/>
      <c r="JWK21" s="60"/>
      <c r="JWO21" s="60"/>
      <c r="JWS21" s="60"/>
      <c r="JWW21" s="60"/>
      <c r="JXA21" s="60"/>
      <c r="JXE21" s="60"/>
      <c r="JXI21" s="60"/>
      <c r="JXM21" s="60"/>
      <c r="JXQ21" s="60"/>
      <c r="JXU21" s="60"/>
      <c r="JXY21" s="60"/>
      <c r="JYC21" s="60"/>
      <c r="JYG21" s="60"/>
      <c r="JYK21" s="60"/>
      <c r="JYO21" s="60"/>
      <c r="JYS21" s="60"/>
      <c r="JYW21" s="60"/>
      <c r="JZA21" s="60"/>
      <c r="JZE21" s="60"/>
      <c r="JZI21" s="60"/>
      <c r="JZM21" s="60"/>
      <c r="JZQ21" s="60"/>
      <c r="JZU21" s="60"/>
      <c r="JZY21" s="60"/>
      <c r="KAC21" s="60"/>
      <c r="KAG21" s="60"/>
      <c r="KAK21" s="60"/>
      <c r="KAO21" s="60"/>
      <c r="KAS21" s="60"/>
      <c r="KAW21" s="60"/>
      <c r="KBA21" s="60"/>
      <c r="KBE21" s="60"/>
      <c r="KBI21" s="60"/>
      <c r="KBM21" s="60"/>
      <c r="KBQ21" s="60"/>
      <c r="KBU21" s="60"/>
      <c r="KBY21" s="60"/>
      <c r="KCC21" s="60"/>
      <c r="KCG21" s="60"/>
      <c r="KCK21" s="60"/>
      <c r="KCO21" s="60"/>
      <c r="KCS21" s="60"/>
      <c r="KCW21" s="60"/>
      <c r="KDA21" s="60"/>
      <c r="KDE21" s="60"/>
      <c r="KDI21" s="60"/>
      <c r="KDM21" s="60"/>
      <c r="KDQ21" s="60"/>
      <c r="KDU21" s="60"/>
      <c r="KDY21" s="60"/>
      <c r="KEC21" s="60"/>
      <c r="KEG21" s="60"/>
      <c r="KEK21" s="60"/>
      <c r="KEO21" s="60"/>
      <c r="KES21" s="60"/>
      <c r="KEW21" s="60"/>
      <c r="KFA21" s="60"/>
      <c r="KFE21" s="60"/>
      <c r="KFI21" s="60"/>
      <c r="KFM21" s="60"/>
      <c r="KFQ21" s="60"/>
      <c r="KFU21" s="60"/>
      <c r="KFY21" s="60"/>
      <c r="KGC21" s="60"/>
      <c r="KGG21" s="60"/>
      <c r="KGK21" s="60"/>
      <c r="KGO21" s="60"/>
      <c r="KGS21" s="60"/>
      <c r="KGW21" s="60"/>
      <c r="KHA21" s="60"/>
      <c r="KHE21" s="60"/>
      <c r="KHI21" s="60"/>
      <c r="KHM21" s="60"/>
      <c r="KHQ21" s="60"/>
      <c r="KHU21" s="60"/>
      <c r="KHY21" s="60"/>
      <c r="KIC21" s="60"/>
      <c r="KIG21" s="60"/>
      <c r="KIK21" s="60"/>
      <c r="KIO21" s="60"/>
      <c r="KIS21" s="60"/>
      <c r="KIW21" s="60"/>
      <c r="KJA21" s="60"/>
      <c r="KJE21" s="60"/>
      <c r="KJI21" s="60"/>
      <c r="KJM21" s="60"/>
      <c r="KJQ21" s="60"/>
      <c r="KJU21" s="60"/>
      <c r="KJY21" s="60"/>
      <c r="KKC21" s="60"/>
      <c r="KKG21" s="60"/>
      <c r="KKK21" s="60"/>
      <c r="KKO21" s="60"/>
      <c r="KKS21" s="60"/>
      <c r="KKW21" s="60"/>
      <c r="KLA21" s="60"/>
      <c r="KLE21" s="60"/>
      <c r="KLI21" s="60"/>
      <c r="KLM21" s="60"/>
      <c r="KLQ21" s="60"/>
      <c r="KLU21" s="60"/>
      <c r="KLY21" s="60"/>
      <c r="KMC21" s="60"/>
      <c r="KMG21" s="60"/>
      <c r="KMK21" s="60"/>
      <c r="KMO21" s="60"/>
      <c r="KMS21" s="60"/>
      <c r="KMW21" s="60"/>
      <c r="KNA21" s="60"/>
      <c r="KNE21" s="60"/>
      <c r="KNI21" s="60"/>
      <c r="KNM21" s="60"/>
      <c r="KNQ21" s="60"/>
      <c r="KNU21" s="60"/>
      <c r="KNY21" s="60"/>
      <c r="KOC21" s="60"/>
      <c r="KOG21" s="60"/>
      <c r="KOK21" s="60"/>
      <c r="KOO21" s="60"/>
      <c r="KOS21" s="60"/>
      <c r="KOW21" s="60"/>
      <c r="KPA21" s="60"/>
      <c r="KPE21" s="60"/>
      <c r="KPI21" s="60"/>
      <c r="KPM21" s="60"/>
      <c r="KPQ21" s="60"/>
      <c r="KPU21" s="60"/>
      <c r="KPY21" s="60"/>
      <c r="KQC21" s="60"/>
      <c r="KQG21" s="60"/>
      <c r="KQK21" s="60"/>
      <c r="KQO21" s="60"/>
      <c r="KQS21" s="60"/>
      <c r="KQW21" s="60"/>
      <c r="KRA21" s="60"/>
      <c r="KRE21" s="60"/>
      <c r="KRI21" s="60"/>
      <c r="KRM21" s="60"/>
      <c r="KRQ21" s="60"/>
      <c r="KRU21" s="60"/>
      <c r="KRY21" s="60"/>
      <c r="KSC21" s="60"/>
      <c r="KSG21" s="60"/>
      <c r="KSK21" s="60"/>
      <c r="KSO21" s="60"/>
      <c r="KSS21" s="60"/>
      <c r="KSW21" s="60"/>
      <c r="KTA21" s="60"/>
      <c r="KTE21" s="60"/>
      <c r="KTI21" s="60"/>
      <c r="KTM21" s="60"/>
      <c r="KTQ21" s="60"/>
      <c r="KTU21" s="60"/>
      <c r="KTY21" s="60"/>
      <c r="KUC21" s="60"/>
      <c r="KUG21" s="60"/>
      <c r="KUK21" s="60"/>
      <c r="KUO21" s="60"/>
      <c r="KUS21" s="60"/>
      <c r="KUW21" s="60"/>
      <c r="KVA21" s="60"/>
      <c r="KVE21" s="60"/>
      <c r="KVI21" s="60"/>
      <c r="KVM21" s="60"/>
      <c r="KVQ21" s="60"/>
      <c r="KVU21" s="60"/>
      <c r="KVY21" s="60"/>
      <c r="KWC21" s="60"/>
      <c r="KWG21" s="60"/>
      <c r="KWK21" s="60"/>
      <c r="KWO21" s="60"/>
      <c r="KWS21" s="60"/>
      <c r="KWW21" s="60"/>
      <c r="KXA21" s="60"/>
      <c r="KXE21" s="60"/>
      <c r="KXI21" s="60"/>
      <c r="KXM21" s="60"/>
      <c r="KXQ21" s="60"/>
      <c r="KXU21" s="60"/>
      <c r="KXY21" s="60"/>
      <c r="KYC21" s="60"/>
      <c r="KYG21" s="60"/>
      <c r="KYK21" s="60"/>
      <c r="KYO21" s="60"/>
      <c r="KYS21" s="60"/>
      <c r="KYW21" s="60"/>
      <c r="KZA21" s="60"/>
      <c r="KZE21" s="60"/>
      <c r="KZI21" s="60"/>
      <c r="KZM21" s="60"/>
      <c r="KZQ21" s="60"/>
      <c r="KZU21" s="60"/>
      <c r="KZY21" s="60"/>
      <c r="LAC21" s="60"/>
      <c r="LAG21" s="60"/>
      <c r="LAK21" s="60"/>
      <c r="LAO21" s="60"/>
      <c r="LAS21" s="60"/>
      <c r="LAW21" s="60"/>
      <c r="LBA21" s="60"/>
      <c r="LBE21" s="60"/>
      <c r="LBI21" s="60"/>
      <c r="LBM21" s="60"/>
      <c r="LBQ21" s="60"/>
      <c r="LBU21" s="60"/>
      <c r="LBY21" s="60"/>
      <c r="LCC21" s="60"/>
      <c r="LCG21" s="60"/>
      <c r="LCK21" s="60"/>
      <c r="LCO21" s="60"/>
      <c r="LCS21" s="60"/>
      <c r="LCW21" s="60"/>
      <c r="LDA21" s="60"/>
      <c r="LDE21" s="60"/>
      <c r="LDI21" s="60"/>
      <c r="LDM21" s="60"/>
      <c r="LDQ21" s="60"/>
      <c r="LDU21" s="60"/>
      <c r="LDY21" s="60"/>
      <c r="LEC21" s="60"/>
      <c r="LEG21" s="60"/>
      <c r="LEK21" s="60"/>
      <c r="LEO21" s="60"/>
      <c r="LES21" s="60"/>
      <c r="LEW21" s="60"/>
      <c r="LFA21" s="60"/>
      <c r="LFE21" s="60"/>
      <c r="LFI21" s="60"/>
      <c r="LFM21" s="60"/>
      <c r="LFQ21" s="60"/>
      <c r="LFU21" s="60"/>
      <c r="LFY21" s="60"/>
      <c r="LGC21" s="60"/>
      <c r="LGG21" s="60"/>
      <c r="LGK21" s="60"/>
      <c r="LGO21" s="60"/>
      <c r="LGS21" s="60"/>
      <c r="LGW21" s="60"/>
      <c r="LHA21" s="60"/>
      <c r="LHE21" s="60"/>
      <c r="LHI21" s="60"/>
      <c r="LHM21" s="60"/>
      <c r="LHQ21" s="60"/>
      <c r="LHU21" s="60"/>
      <c r="LHY21" s="60"/>
      <c r="LIC21" s="60"/>
      <c r="LIG21" s="60"/>
      <c r="LIK21" s="60"/>
      <c r="LIO21" s="60"/>
      <c r="LIS21" s="60"/>
      <c r="LIW21" s="60"/>
      <c r="LJA21" s="60"/>
      <c r="LJE21" s="60"/>
      <c r="LJI21" s="60"/>
      <c r="LJM21" s="60"/>
      <c r="LJQ21" s="60"/>
      <c r="LJU21" s="60"/>
      <c r="LJY21" s="60"/>
      <c r="LKC21" s="60"/>
      <c r="LKG21" s="60"/>
      <c r="LKK21" s="60"/>
      <c r="LKO21" s="60"/>
      <c r="LKS21" s="60"/>
      <c r="LKW21" s="60"/>
      <c r="LLA21" s="60"/>
      <c r="LLE21" s="60"/>
      <c r="LLI21" s="60"/>
      <c r="LLM21" s="60"/>
      <c r="LLQ21" s="60"/>
      <c r="LLU21" s="60"/>
      <c r="LLY21" s="60"/>
      <c r="LMC21" s="60"/>
      <c r="LMG21" s="60"/>
      <c r="LMK21" s="60"/>
      <c r="LMO21" s="60"/>
      <c r="LMS21" s="60"/>
      <c r="LMW21" s="60"/>
      <c r="LNA21" s="60"/>
      <c r="LNE21" s="60"/>
      <c r="LNI21" s="60"/>
      <c r="LNM21" s="60"/>
      <c r="LNQ21" s="60"/>
      <c r="LNU21" s="60"/>
      <c r="LNY21" s="60"/>
      <c r="LOC21" s="60"/>
      <c r="LOG21" s="60"/>
      <c r="LOK21" s="60"/>
      <c r="LOO21" s="60"/>
      <c r="LOS21" s="60"/>
      <c r="LOW21" s="60"/>
      <c r="LPA21" s="60"/>
      <c r="LPE21" s="60"/>
      <c r="LPI21" s="60"/>
      <c r="LPM21" s="60"/>
      <c r="LPQ21" s="60"/>
      <c r="LPU21" s="60"/>
      <c r="LPY21" s="60"/>
      <c r="LQC21" s="60"/>
      <c r="LQG21" s="60"/>
      <c r="LQK21" s="60"/>
      <c r="LQO21" s="60"/>
      <c r="LQS21" s="60"/>
      <c r="LQW21" s="60"/>
      <c r="LRA21" s="60"/>
      <c r="LRE21" s="60"/>
      <c r="LRI21" s="60"/>
      <c r="LRM21" s="60"/>
      <c r="LRQ21" s="60"/>
      <c r="LRU21" s="60"/>
      <c r="LRY21" s="60"/>
      <c r="LSC21" s="60"/>
      <c r="LSG21" s="60"/>
      <c r="LSK21" s="60"/>
      <c r="LSO21" s="60"/>
      <c r="LSS21" s="60"/>
      <c r="LSW21" s="60"/>
      <c r="LTA21" s="60"/>
      <c r="LTE21" s="60"/>
      <c r="LTI21" s="60"/>
      <c r="LTM21" s="60"/>
      <c r="LTQ21" s="60"/>
      <c r="LTU21" s="60"/>
      <c r="LTY21" s="60"/>
      <c r="LUC21" s="60"/>
      <c r="LUG21" s="60"/>
      <c r="LUK21" s="60"/>
      <c r="LUO21" s="60"/>
      <c r="LUS21" s="60"/>
      <c r="LUW21" s="60"/>
      <c r="LVA21" s="60"/>
      <c r="LVE21" s="60"/>
      <c r="LVI21" s="60"/>
      <c r="LVM21" s="60"/>
      <c r="LVQ21" s="60"/>
      <c r="LVU21" s="60"/>
      <c r="LVY21" s="60"/>
      <c r="LWC21" s="60"/>
      <c r="LWG21" s="60"/>
      <c r="LWK21" s="60"/>
      <c r="LWO21" s="60"/>
      <c r="LWS21" s="60"/>
      <c r="LWW21" s="60"/>
      <c r="LXA21" s="60"/>
      <c r="LXE21" s="60"/>
      <c r="LXI21" s="60"/>
      <c r="LXM21" s="60"/>
      <c r="LXQ21" s="60"/>
      <c r="LXU21" s="60"/>
      <c r="LXY21" s="60"/>
      <c r="LYC21" s="60"/>
      <c r="LYG21" s="60"/>
      <c r="LYK21" s="60"/>
      <c r="LYO21" s="60"/>
      <c r="LYS21" s="60"/>
      <c r="LYW21" s="60"/>
      <c r="LZA21" s="60"/>
      <c r="LZE21" s="60"/>
      <c r="LZI21" s="60"/>
      <c r="LZM21" s="60"/>
      <c r="LZQ21" s="60"/>
      <c r="LZU21" s="60"/>
      <c r="LZY21" s="60"/>
      <c r="MAC21" s="60"/>
      <c r="MAG21" s="60"/>
      <c r="MAK21" s="60"/>
      <c r="MAO21" s="60"/>
      <c r="MAS21" s="60"/>
      <c r="MAW21" s="60"/>
      <c r="MBA21" s="60"/>
      <c r="MBE21" s="60"/>
      <c r="MBI21" s="60"/>
      <c r="MBM21" s="60"/>
      <c r="MBQ21" s="60"/>
      <c r="MBU21" s="60"/>
      <c r="MBY21" s="60"/>
      <c r="MCC21" s="60"/>
      <c r="MCG21" s="60"/>
      <c r="MCK21" s="60"/>
      <c r="MCO21" s="60"/>
      <c r="MCS21" s="60"/>
      <c r="MCW21" s="60"/>
      <c r="MDA21" s="60"/>
      <c r="MDE21" s="60"/>
      <c r="MDI21" s="60"/>
      <c r="MDM21" s="60"/>
      <c r="MDQ21" s="60"/>
      <c r="MDU21" s="60"/>
      <c r="MDY21" s="60"/>
      <c r="MEC21" s="60"/>
      <c r="MEG21" s="60"/>
      <c r="MEK21" s="60"/>
      <c r="MEO21" s="60"/>
      <c r="MES21" s="60"/>
      <c r="MEW21" s="60"/>
      <c r="MFA21" s="60"/>
      <c r="MFE21" s="60"/>
      <c r="MFI21" s="60"/>
      <c r="MFM21" s="60"/>
      <c r="MFQ21" s="60"/>
      <c r="MFU21" s="60"/>
      <c r="MFY21" s="60"/>
      <c r="MGC21" s="60"/>
      <c r="MGG21" s="60"/>
      <c r="MGK21" s="60"/>
      <c r="MGO21" s="60"/>
      <c r="MGS21" s="60"/>
      <c r="MGW21" s="60"/>
      <c r="MHA21" s="60"/>
      <c r="MHE21" s="60"/>
      <c r="MHI21" s="60"/>
      <c r="MHM21" s="60"/>
      <c r="MHQ21" s="60"/>
      <c r="MHU21" s="60"/>
      <c r="MHY21" s="60"/>
      <c r="MIC21" s="60"/>
      <c r="MIG21" s="60"/>
      <c r="MIK21" s="60"/>
      <c r="MIO21" s="60"/>
      <c r="MIS21" s="60"/>
      <c r="MIW21" s="60"/>
      <c r="MJA21" s="60"/>
      <c r="MJE21" s="60"/>
      <c r="MJI21" s="60"/>
      <c r="MJM21" s="60"/>
      <c r="MJQ21" s="60"/>
      <c r="MJU21" s="60"/>
      <c r="MJY21" s="60"/>
      <c r="MKC21" s="60"/>
      <c r="MKG21" s="60"/>
      <c r="MKK21" s="60"/>
      <c r="MKO21" s="60"/>
      <c r="MKS21" s="60"/>
      <c r="MKW21" s="60"/>
      <c r="MLA21" s="60"/>
      <c r="MLE21" s="60"/>
      <c r="MLI21" s="60"/>
      <c r="MLM21" s="60"/>
      <c r="MLQ21" s="60"/>
      <c r="MLU21" s="60"/>
      <c r="MLY21" s="60"/>
      <c r="MMC21" s="60"/>
      <c r="MMG21" s="60"/>
      <c r="MMK21" s="60"/>
      <c r="MMO21" s="60"/>
      <c r="MMS21" s="60"/>
      <c r="MMW21" s="60"/>
      <c r="MNA21" s="60"/>
      <c r="MNE21" s="60"/>
      <c r="MNI21" s="60"/>
      <c r="MNM21" s="60"/>
      <c r="MNQ21" s="60"/>
      <c r="MNU21" s="60"/>
      <c r="MNY21" s="60"/>
      <c r="MOC21" s="60"/>
      <c r="MOG21" s="60"/>
      <c r="MOK21" s="60"/>
      <c r="MOO21" s="60"/>
      <c r="MOS21" s="60"/>
      <c r="MOW21" s="60"/>
      <c r="MPA21" s="60"/>
      <c r="MPE21" s="60"/>
      <c r="MPI21" s="60"/>
      <c r="MPM21" s="60"/>
      <c r="MPQ21" s="60"/>
      <c r="MPU21" s="60"/>
      <c r="MPY21" s="60"/>
      <c r="MQC21" s="60"/>
      <c r="MQG21" s="60"/>
      <c r="MQK21" s="60"/>
      <c r="MQO21" s="60"/>
      <c r="MQS21" s="60"/>
      <c r="MQW21" s="60"/>
      <c r="MRA21" s="60"/>
      <c r="MRE21" s="60"/>
      <c r="MRI21" s="60"/>
      <c r="MRM21" s="60"/>
      <c r="MRQ21" s="60"/>
      <c r="MRU21" s="60"/>
      <c r="MRY21" s="60"/>
      <c r="MSC21" s="60"/>
      <c r="MSG21" s="60"/>
      <c r="MSK21" s="60"/>
      <c r="MSO21" s="60"/>
      <c r="MSS21" s="60"/>
      <c r="MSW21" s="60"/>
      <c r="MTA21" s="60"/>
      <c r="MTE21" s="60"/>
      <c r="MTI21" s="60"/>
      <c r="MTM21" s="60"/>
      <c r="MTQ21" s="60"/>
      <c r="MTU21" s="60"/>
      <c r="MTY21" s="60"/>
      <c r="MUC21" s="60"/>
      <c r="MUG21" s="60"/>
      <c r="MUK21" s="60"/>
      <c r="MUO21" s="60"/>
      <c r="MUS21" s="60"/>
      <c r="MUW21" s="60"/>
      <c r="MVA21" s="60"/>
      <c r="MVE21" s="60"/>
      <c r="MVI21" s="60"/>
      <c r="MVM21" s="60"/>
      <c r="MVQ21" s="60"/>
      <c r="MVU21" s="60"/>
      <c r="MVY21" s="60"/>
      <c r="MWC21" s="60"/>
      <c r="MWG21" s="60"/>
      <c r="MWK21" s="60"/>
      <c r="MWO21" s="60"/>
      <c r="MWS21" s="60"/>
      <c r="MWW21" s="60"/>
      <c r="MXA21" s="60"/>
      <c r="MXE21" s="60"/>
      <c r="MXI21" s="60"/>
      <c r="MXM21" s="60"/>
      <c r="MXQ21" s="60"/>
      <c r="MXU21" s="60"/>
      <c r="MXY21" s="60"/>
      <c r="MYC21" s="60"/>
      <c r="MYG21" s="60"/>
      <c r="MYK21" s="60"/>
      <c r="MYO21" s="60"/>
      <c r="MYS21" s="60"/>
      <c r="MYW21" s="60"/>
      <c r="MZA21" s="60"/>
      <c r="MZE21" s="60"/>
      <c r="MZI21" s="60"/>
      <c r="MZM21" s="60"/>
      <c r="MZQ21" s="60"/>
      <c r="MZU21" s="60"/>
      <c r="MZY21" s="60"/>
      <c r="NAC21" s="60"/>
      <c r="NAG21" s="60"/>
      <c r="NAK21" s="60"/>
      <c r="NAO21" s="60"/>
      <c r="NAS21" s="60"/>
      <c r="NAW21" s="60"/>
      <c r="NBA21" s="60"/>
      <c r="NBE21" s="60"/>
      <c r="NBI21" s="60"/>
      <c r="NBM21" s="60"/>
      <c r="NBQ21" s="60"/>
      <c r="NBU21" s="60"/>
      <c r="NBY21" s="60"/>
      <c r="NCC21" s="60"/>
      <c r="NCG21" s="60"/>
      <c r="NCK21" s="60"/>
      <c r="NCO21" s="60"/>
      <c r="NCS21" s="60"/>
      <c r="NCW21" s="60"/>
      <c r="NDA21" s="60"/>
      <c r="NDE21" s="60"/>
      <c r="NDI21" s="60"/>
      <c r="NDM21" s="60"/>
      <c r="NDQ21" s="60"/>
      <c r="NDU21" s="60"/>
      <c r="NDY21" s="60"/>
      <c r="NEC21" s="60"/>
      <c r="NEG21" s="60"/>
      <c r="NEK21" s="60"/>
      <c r="NEO21" s="60"/>
      <c r="NES21" s="60"/>
      <c r="NEW21" s="60"/>
      <c r="NFA21" s="60"/>
      <c r="NFE21" s="60"/>
      <c r="NFI21" s="60"/>
      <c r="NFM21" s="60"/>
      <c r="NFQ21" s="60"/>
      <c r="NFU21" s="60"/>
      <c r="NFY21" s="60"/>
      <c r="NGC21" s="60"/>
      <c r="NGG21" s="60"/>
      <c r="NGK21" s="60"/>
      <c r="NGO21" s="60"/>
      <c r="NGS21" s="60"/>
      <c r="NGW21" s="60"/>
      <c r="NHA21" s="60"/>
      <c r="NHE21" s="60"/>
      <c r="NHI21" s="60"/>
      <c r="NHM21" s="60"/>
      <c r="NHQ21" s="60"/>
      <c r="NHU21" s="60"/>
      <c r="NHY21" s="60"/>
      <c r="NIC21" s="60"/>
      <c r="NIG21" s="60"/>
      <c r="NIK21" s="60"/>
      <c r="NIO21" s="60"/>
      <c r="NIS21" s="60"/>
      <c r="NIW21" s="60"/>
      <c r="NJA21" s="60"/>
      <c r="NJE21" s="60"/>
      <c r="NJI21" s="60"/>
      <c r="NJM21" s="60"/>
      <c r="NJQ21" s="60"/>
      <c r="NJU21" s="60"/>
      <c r="NJY21" s="60"/>
      <c r="NKC21" s="60"/>
      <c r="NKG21" s="60"/>
      <c r="NKK21" s="60"/>
      <c r="NKO21" s="60"/>
      <c r="NKS21" s="60"/>
      <c r="NKW21" s="60"/>
      <c r="NLA21" s="60"/>
      <c r="NLE21" s="60"/>
      <c r="NLI21" s="60"/>
      <c r="NLM21" s="60"/>
      <c r="NLQ21" s="60"/>
      <c r="NLU21" s="60"/>
      <c r="NLY21" s="60"/>
      <c r="NMC21" s="60"/>
      <c r="NMG21" s="60"/>
      <c r="NMK21" s="60"/>
      <c r="NMO21" s="60"/>
      <c r="NMS21" s="60"/>
      <c r="NMW21" s="60"/>
      <c r="NNA21" s="60"/>
      <c r="NNE21" s="60"/>
      <c r="NNI21" s="60"/>
      <c r="NNM21" s="60"/>
      <c r="NNQ21" s="60"/>
      <c r="NNU21" s="60"/>
      <c r="NNY21" s="60"/>
      <c r="NOC21" s="60"/>
      <c r="NOG21" s="60"/>
      <c r="NOK21" s="60"/>
      <c r="NOO21" s="60"/>
      <c r="NOS21" s="60"/>
      <c r="NOW21" s="60"/>
      <c r="NPA21" s="60"/>
      <c r="NPE21" s="60"/>
      <c r="NPI21" s="60"/>
      <c r="NPM21" s="60"/>
      <c r="NPQ21" s="60"/>
      <c r="NPU21" s="60"/>
      <c r="NPY21" s="60"/>
      <c r="NQC21" s="60"/>
      <c r="NQG21" s="60"/>
      <c r="NQK21" s="60"/>
      <c r="NQO21" s="60"/>
      <c r="NQS21" s="60"/>
      <c r="NQW21" s="60"/>
      <c r="NRA21" s="60"/>
      <c r="NRE21" s="60"/>
      <c r="NRI21" s="60"/>
      <c r="NRM21" s="60"/>
      <c r="NRQ21" s="60"/>
      <c r="NRU21" s="60"/>
      <c r="NRY21" s="60"/>
      <c r="NSC21" s="60"/>
      <c r="NSG21" s="60"/>
      <c r="NSK21" s="60"/>
      <c r="NSO21" s="60"/>
      <c r="NSS21" s="60"/>
      <c r="NSW21" s="60"/>
      <c r="NTA21" s="60"/>
      <c r="NTE21" s="60"/>
      <c r="NTI21" s="60"/>
      <c r="NTM21" s="60"/>
      <c r="NTQ21" s="60"/>
      <c r="NTU21" s="60"/>
      <c r="NTY21" s="60"/>
      <c r="NUC21" s="60"/>
      <c r="NUG21" s="60"/>
      <c r="NUK21" s="60"/>
      <c r="NUO21" s="60"/>
      <c r="NUS21" s="60"/>
      <c r="NUW21" s="60"/>
      <c r="NVA21" s="60"/>
      <c r="NVE21" s="60"/>
      <c r="NVI21" s="60"/>
      <c r="NVM21" s="60"/>
      <c r="NVQ21" s="60"/>
      <c r="NVU21" s="60"/>
      <c r="NVY21" s="60"/>
      <c r="NWC21" s="60"/>
      <c r="NWG21" s="60"/>
      <c r="NWK21" s="60"/>
      <c r="NWO21" s="60"/>
      <c r="NWS21" s="60"/>
      <c r="NWW21" s="60"/>
      <c r="NXA21" s="60"/>
      <c r="NXE21" s="60"/>
      <c r="NXI21" s="60"/>
      <c r="NXM21" s="60"/>
      <c r="NXQ21" s="60"/>
      <c r="NXU21" s="60"/>
      <c r="NXY21" s="60"/>
      <c r="NYC21" s="60"/>
      <c r="NYG21" s="60"/>
      <c r="NYK21" s="60"/>
      <c r="NYO21" s="60"/>
      <c r="NYS21" s="60"/>
      <c r="NYW21" s="60"/>
      <c r="NZA21" s="60"/>
      <c r="NZE21" s="60"/>
      <c r="NZI21" s="60"/>
      <c r="NZM21" s="60"/>
      <c r="NZQ21" s="60"/>
      <c r="NZU21" s="60"/>
      <c r="NZY21" s="60"/>
      <c r="OAC21" s="60"/>
      <c r="OAG21" s="60"/>
      <c r="OAK21" s="60"/>
      <c r="OAO21" s="60"/>
      <c r="OAS21" s="60"/>
      <c r="OAW21" s="60"/>
      <c r="OBA21" s="60"/>
      <c r="OBE21" s="60"/>
      <c r="OBI21" s="60"/>
      <c r="OBM21" s="60"/>
      <c r="OBQ21" s="60"/>
      <c r="OBU21" s="60"/>
      <c r="OBY21" s="60"/>
      <c r="OCC21" s="60"/>
      <c r="OCG21" s="60"/>
      <c r="OCK21" s="60"/>
      <c r="OCO21" s="60"/>
      <c r="OCS21" s="60"/>
      <c r="OCW21" s="60"/>
      <c r="ODA21" s="60"/>
      <c r="ODE21" s="60"/>
      <c r="ODI21" s="60"/>
      <c r="ODM21" s="60"/>
      <c r="ODQ21" s="60"/>
      <c r="ODU21" s="60"/>
      <c r="ODY21" s="60"/>
      <c r="OEC21" s="60"/>
      <c r="OEG21" s="60"/>
      <c r="OEK21" s="60"/>
      <c r="OEO21" s="60"/>
      <c r="OES21" s="60"/>
      <c r="OEW21" s="60"/>
      <c r="OFA21" s="60"/>
      <c r="OFE21" s="60"/>
      <c r="OFI21" s="60"/>
      <c r="OFM21" s="60"/>
      <c r="OFQ21" s="60"/>
      <c r="OFU21" s="60"/>
      <c r="OFY21" s="60"/>
      <c r="OGC21" s="60"/>
      <c r="OGG21" s="60"/>
      <c r="OGK21" s="60"/>
      <c r="OGO21" s="60"/>
      <c r="OGS21" s="60"/>
      <c r="OGW21" s="60"/>
      <c r="OHA21" s="60"/>
      <c r="OHE21" s="60"/>
      <c r="OHI21" s="60"/>
      <c r="OHM21" s="60"/>
      <c r="OHQ21" s="60"/>
      <c r="OHU21" s="60"/>
      <c r="OHY21" s="60"/>
      <c r="OIC21" s="60"/>
      <c r="OIG21" s="60"/>
      <c r="OIK21" s="60"/>
      <c r="OIO21" s="60"/>
      <c r="OIS21" s="60"/>
      <c r="OIW21" s="60"/>
      <c r="OJA21" s="60"/>
      <c r="OJE21" s="60"/>
      <c r="OJI21" s="60"/>
      <c r="OJM21" s="60"/>
      <c r="OJQ21" s="60"/>
      <c r="OJU21" s="60"/>
      <c r="OJY21" s="60"/>
      <c r="OKC21" s="60"/>
      <c r="OKG21" s="60"/>
      <c r="OKK21" s="60"/>
      <c r="OKO21" s="60"/>
      <c r="OKS21" s="60"/>
      <c r="OKW21" s="60"/>
      <c r="OLA21" s="60"/>
      <c r="OLE21" s="60"/>
      <c r="OLI21" s="60"/>
      <c r="OLM21" s="60"/>
      <c r="OLQ21" s="60"/>
      <c r="OLU21" s="60"/>
      <c r="OLY21" s="60"/>
      <c r="OMC21" s="60"/>
      <c r="OMG21" s="60"/>
      <c r="OMK21" s="60"/>
      <c r="OMO21" s="60"/>
      <c r="OMS21" s="60"/>
      <c r="OMW21" s="60"/>
      <c r="ONA21" s="60"/>
      <c r="ONE21" s="60"/>
      <c r="ONI21" s="60"/>
      <c r="ONM21" s="60"/>
      <c r="ONQ21" s="60"/>
      <c r="ONU21" s="60"/>
      <c r="ONY21" s="60"/>
      <c r="OOC21" s="60"/>
      <c r="OOG21" s="60"/>
      <c r="OOK21" s="60"/>
      <c r="OOO21" s="60"/>
      <c r="OOS21" s="60"/>
      <c r="OOW21" s="60"/>
      <c r="OPA21" s="60"/>
      <c r="OPE21" s="60"/>
      <c r="OPI21" s="60"/>
      <c r="OPM21" s="60"/>
      <c r="OPQ21" s="60"/>
      <c r="OPU21" s="60"/>
      <c r="OPY21" s="60"/>
      <c r="OQC21" s="60"/>
      <c r="OQG21" s="60"/>
      <c r="OQK21" s="60"/>
      <c r="OQO21" s="60"/>
      <c r="OQS21" s="60"/>
      <c r="OQW21" s="60"/>
      <c r="ORA21" s="60"/>
      <c r="ORE21" s="60"/>
      <c r="ORI21" s="60"/>
      <c r="ORM21" s="60"/>
      <c r="ORQ21" s="60"/>
      <c r="ORU21" s="60"/>
      <c r="ORY21" s="60"/>
      <c r="OSC21" s="60"/>
      <c r="OSG21" s="60"/>
      <c r="OSK21" s="60"/>
      <c r="OSO21" s="60"/>
      <c r="OSS21" s="60"/>
      <c r="OSW21" s="60"/>
      <c r="OTA21" s="60"/>
      <c r="OTE21" s="60"/>
      <c r="OTI21" s="60"/>
      <c r="OTM21" s="60"/>
      <c r="OTQ21" s="60"/>
      <c r="OTU21" s="60"/>
      <c r="OTY21" s="60"/>
      <c r="OUC21" s="60"/>
      <c r="OUG21" s="60"/>
      <c r="OUK21" s="60"/>
      <c r="OUO21" s="60"/>
      <c r="OUS21" s="60"/>
      <c r="OUW21" s="60"/>
      <c r="OVA21" s="60"/>
      <c r="OVE21" s="60"/>
      <c r="OVI21" s="60"/>
      <c r="OVM21" s="60"/>
      <c r="OVQ21" s="60"/>
      <c r="OVU21" s="60"/>
      <c r="OVY21" s="60"/>
      <c r="OWC21" s="60"/>
      <c r="OWG21" s="60"/>
      <c r="OWK21" s="60"/>
      <c r="OWO21" s="60"/>
      <c r="OWS21" s="60"/>
      <c r="OWW21" s="60"/>
      <c r="OXA21" s="60"/>
      <c r="OXE21" s="60"/>
      <c r="OXI21" s="60"/>
      <c r="OXM21" s="60"/>
      <c r="OXQ21" s="60"/>
      <c r="OXU21" s="60"/>
      <c r="OXY21" s="60"/>
      <c r="OYC21" s="60"/>
      <c r="OYG21" s="60"/>
      <c r="OYK21" s="60"/>
      <c r="OYO21" s="60"/>
      <c r="OYS21" s="60"/>
      <c r="OYW21" s="60"/>
      <c r="OZA21" s="60"/>
      <c r="OZE21" s="60"/>
      <c r="OZI21" s="60"/>
      <c r="OZM21" s="60"/>
      <c r="OZQ21" s="60"/>
      <c r="OZU21" s="60"/>
      <c r="OZY21" s="60"/>
      <c r="PAC21" s="60"/>
      <c r="PAG21" s="60"/>
      <c r="PAK21" s="60"/>
      <c r="PAO21" s="60"/>
      <c r="PAS21" s="60"/>
      <c r="PAW21" s="60"/>
      <c r="PBA21" s="60"/>
      <c r="PBE21" s="60"/>
      <c r="PBI21" s="60"/>
      <c r="PBM21" s="60"/>
      <c r="PBQ21" s="60"/>
      <c r="PBU21" s="60"/>
      <c r="PBY21" s="60"/>
      <c r="PCC21" s="60"/>
      <c r="PCG21" s="60"/>
      <c r="PCK21" s="60"/>
      <c r="PCO21" s="60"/>
      <c r="PCS21" s="60"/>
      <c r="PCW21" s="60"/>
      <c r="PDA21" s="60"/>
      <c r="PDE21" s="60"/>
      <c r="PDI21" s="60"/>
      <c r="PDM21" s="60"/>
      <c r="PDQ21" s="60"/>
      <c r="PDU21" s="60"/>
      <c r="PDY21" s="60"/>
      <c r="PEC21" s="60"/>
      <c r="PEG21" s="60"/>
      <c r="PEK21" s="60"/>
      <c r="PEO21" s="60"/>
      <c r="PES21" s="60"/>
      <c r="PEW21" s="60"/>
      <c r="PFA21" s="60"/>
      <c r="PFE21" s="60"/>
      <c r="PFI21" s="60"/>
      <c r="PFM21" s="60"/>
      <c r="PFQ21" s="60"/>
      <c r="PFU21" s="60"/>
      <c r="PFY21" s="60"/>
      <c r="PGC21" s="60"/>
      <c r="PGG21" s="60"/>
      <c r="PGK21" s="60"/>
      <c r="PGO21" s="60"/>
      <c r="PGS21" s="60"/>
      <c r="PGW21" s="60"/>
      <c r="PHA21" s="60"/>
      <c r="PHE21" s="60"/>
      <c r="PHI21" s="60"/>
      <c r="PHM21" s="60"/>
      <c r="PHQ21" s="60"/>
      <c r="PHU21" s="60"/>
      <c r="PHY21" s="60"/>
      <c r="PIC21" s="60"/>
      <c r="PIG21" s="60"/>
      <c r="PIK21" s="60"/>
      <c r="PIO21" s="60"/>
      <c r="PIS21" s="60"/>
      <c r="PIW21" s="60"/>
      <c r="PJA21" s="60"/>
      <c r="PJE21" s="60"/>
      <c r="PJI21" s="60"/>
      <c r="PJM21" s="60"/>
      <c r="PJQ21" s="60"/>
      <c r="PJU21" s="60"/>
      <c r="PJY21" s="60"/>
      <c r="PKC21" s="60"/>
      <c r="PKG21" s="60"/>
      <c r="PKK21" s="60"/>
      <c r="PKO21" s="60"/>
      <c r="PKS21" s="60"/>
      <c r="PKW21" s="60"/>
      <c r="PLA21" s="60"/>
      <c r="PLE21" s="60"/>
      <c r="PLI21" s="60"/>
      <c r="PLM21" s="60"/>
      <c r="PLQ21" s="60"/>
      <c r="PLU21" s="60"/>
      <c r="PLY21" s="60"/>
      <c r="PMC21" s="60"/>
      <c r="PMG21" s="60"/>
      <c r="PMK21" s="60"/>
      <c r="PMO21" s="60"/>
      <c r="PMS21" s="60"/>
      <c r="PMW21" s="60"/>
      <c r="PNA21" s="60"/>
      <c r="PNE21" s="60"/>
      <c r="PNI21" s="60"/>
      <c r="PNM21" s="60"/>
      <c r="PNQ21" s="60"/>
      <c r="PNU21" s="60"/>
      <c r="PNY21" s="60"/>
      <c r="POC21" s="60"/>
      <c r="POG21" s="60"/>
      <c r="POK21" s="60"/>
      <c r="POO21" s="60"/>
      <c r="POS21" s="60"/>
      <c r="POW21" s="60"/>
      <c r="PPA21" s="60"/>
      <c r="PPE21" s="60"/>
      <c r="PPI21" s="60"/>
      <c r="PPM21" s="60"/>
      <c r="PPQ21" s="60"/>
      <c r="PPU21" s="60"/>
      <c r="PPY21" s="60"/>
      <c r="PQC21" s="60"/>
      <c r="PQG21" s="60"/>
      <c r="PQK21" s="60"/>
      <c r="PQO21" s="60"/>
      <c r="PQS21" s="60"/>
      <c r="PQW21" s="60"/>
      <c r="PRA21" s="60"/>
      <c r="PRE21" s="60"/>
      <c r="PRI21" s="60"/>
      <c r="PRM21" s="60"/>
      <c r="PRQ21" s="60"/>
      <c r="PRU21" s="60"/>
      <c r="PRY21" s="60"/>
      <c r="PSC21" s="60"/>
      <c r="PSG21" s="60"/>
      <c r="PSK21" s="60"/>
      <c r="PSO21" s="60"/>
      <c r="PSS21" s="60"/>
      <c r="PSW21" s="60"/>
      <c r="PTA21" s="60"/>
      <c r="PTE21" s="60"/>
      <c r="PTI21" s="60"/>
      <c r="PTM21" s="60"/>
      <c r="PTQ21" s="60"/>
      <c r="PTU21" s="60"/>
      <c r="PTY21" s="60"/>
      <c r="PUC21" s="60"/>
      <c r="PUG21" s="60"/>
      <c r="PUK21" s="60"/>
      <c r="PUO21" s="60"/>
      <c r="PUS21" s="60"/>
      <c r="PUW21" s="60"/>
      <c r="PVA21" s="60"/>
      <c r="PVE21" s="60"/>
      <c r="PVI21" s="60"/>
      <c r="PVM21" s="60"/>
      <c r="PVQ21" s="60"/>
      <c r="PVU21" s="60"/>
      <c r="PVY21" s="60"/>
      <c r="PWC21" s="60"/>
      <c r="PWG21" s="60"/>
      <c r="PWK21" s="60"/>
      <c r="PWO21" s="60"/>
      <c r="PWS21" s="60"/>
      <c r="PWW21" s="60"/>
      <c r="PXA21" s="60"/>
      <c r="PXE21" s="60"/>
      <c r="PXI21" s="60"/>
      <c r="PXM21" s="60"/>
      <c r="PXQ21" s="60"/>
      <c r="PXU21" s="60"/>
      <c r="PXY21" s="60"/>
      <c r="PYC21" s="60"/>
      <c r="PYG21" s="60"/>
      <c r="PYK21" s="60"/>
      <c r="PYO21" s="60"/>
      <c r="PYS21" s="60"/>
      <c r="PYW21" s="60"/>
      <c r="PZA21" s="60"/>
      <c r="PZE21" s="60"/>
      <c r="PZI21" s="60"/>
      <c r="PZM21" s="60"/>
      <c r="PZQ21" s="60"/>
      <c r="PZU21" s="60"/>
      <c r="PZY21" s="60"/>
      <c r="QAC21" s="60"/>
      <c r="QAG21" s="60"/>
      <c r="QAK21" s="60"/>
      <c r="QAO21" s="60"/>
      <c r="QAS21" s="60"/>
      <c r="QAW21" s="60"/>
      <c r="QBA21" s="60"/>
      <c r="QBE21" s="60"/>
      <c r="QBI21" s="60"/>
      <c r="QBM21" s="60"/>
      <c r="QBQ21" s="60"/>
      <c r="QBU21" s="60"/>
      <c r="QBY21" s="60"/>
      <c r="QCC21" s="60"/>
      <c r="QCG21" s="60"/>
      <c r="QCK21" s="60"/>
      <c r="QCO21" s="60"/>
      <c r="QCS21" s="60"/>
      <c r="QCW21" s="60"/>
      <c r="QDA21" s="60"/>
      <c r="QDE21" s="60"/>
      <c r="QDI21" s="60"/>
      <c r="QDM21" s="60"/>
      <c r="QDQ21" s="60"/>
      <c r="QDU21" s="60"/>
      <c r="QDY21" s="60"/>
      <c r="QEC21" s="60"/>
      <c r="QEG21" s="60"/>
      <c r="QEK21" s="60"/>
      <c r="QEO21" s="60"/>
      <c r="QES21" s="60"/>
      <c r="QEW21" s="60"/>
      <c r="QFA21" s="60"/>
      <c r="QFE21" s="60"/>
      <c r="QFI21" s="60"/>
      <c r="QFM21" s="60"/>
      <c r="QFQ21" s="60"/>
      <c r="QFU21" s="60"/>
      <c r="QFY21" s="60"/>
      <c r="QGC21" s="60"/>
      <c r="QGG21" s="60"/>
      <c r="QGK21" s="60"/>
      <c r="QGO21" s="60"/>
      <c r="QGS21" s="60"/>
      <c r="QGW21" s="60"/>
      <c r="QHA21" s="60"/>
      <c r="QHE21" s="60"/>
      <c r="QHI21" s="60"/>
      <c r="QHM21" s="60"/>
      <c r="QHQ21" s="60"/>
      <c r="QHU21" s="60"/>
      <c r="QHY21" s="60"/>
      <c r="QIC21" s="60"/>
      <c r="QIG21" s="60"/>
      <c r="QIK21" s="60"/>
      <c r="QIO21" s="60"/>
      <c r="QIS21" s="60"/>
      <c r="QIW21" s="60"/>
      <c r="QJA21" s="60"/>
      <c r="QJE21" s="60"/>
      <c r="QJI21" s="60"/>
      <c r="QJM21" s="60"/>
      <c r="QJQ21" s="60"/>
      <c r="QJU21" s="60"/>
      <c r="QJY21" s="60"/>
      <c r="QKC21" s="60"/>
      <c r="QKG21" s="60"/>
      <c r="QKK21" s="60"/>
      <c r="QKO21" s="60"/>
      <c r="QKS21" s="60"/>
      <c r="QKW21" s="60"/>
      <c r="QLA21" s="60"/>
      <c r="QLE21" s="60"/>
      <c r="QLI21" s="60"/>
      <c r="QLM21" s="60"/>
      <c r="QLQ21" s="60"/>
      <c r="QLU21" s="60"/>
      <c r="QLY21" s="60"/>
      <c r="QMC21" s="60"/>
      <c r="QMG21" s="60"/>
      <c r="QMK21" s="60"/>
      <c r="QMO21" s="60"/>
      <c r="QMS21" s="60"/>
      <c r="QMW21" s="60"/>
      <c r="QNA21" s="60"/>
      <c r="QNE21" s="60"/>
      <c r="QNI21" s="60"/>
      <c r="QNM21" s="60"/>
      <c r="QNQ21" s="60"/>
      <c r="QNU21" s="60"/>
      <c r="QNY21" s="60"/>
      <c r="QOC21" s="60"/>
      <c r="QOG21" s="60"/>
      <c r="QOK21" s="60"/>
      <c r="QOO21" s="60"/>
      <c r="QOS21" s="60"/>
      <c r="QOW21" s="60"/>
      <c r="QPA21" s="60"/>
      <c r="QPE21" s="60"/>
      <c r="QPI21" s="60"/>
      <c r="QPM21" s="60"/>
      <c r="QPQ21" s="60"/>
      <c r="QPU21" s="60"/>
      <c r="QPY21" s="60"/>
      <c r="QQC21" s="60"/>
      <c r="QQG21" s="60"/>
      <c r="QQK21" s="60"/>
      <c r="QQO21" s="60"/>
      <c r="QQS21" s="60"/>
      <c r="QQW21" s="60"/>
      <c r="QRA21" s="60"/>
      <c r="QRE21" s="60"/>
      <c r="QRI21" s="60"/>
      <c r="QRM21" s="60"/>
      <c r="QRQ21" s="60"/>
      <c r="QRU21" s="60"/>
      <c r="QRY21" s="60"/>
      <c r="QSC21" s="60"/>
      <c r="QSG21" s="60"/>
      <c r="QSK21" s="60"/>
      <c r="QSO21" s="60"/>
      <c r="QSS21" s="60"/>
      <c r="QSW21" s="60"/>
      <c r="QTA21" s="60"/>
      <c r="QTE21" s="60"/>
      <c r="QTI21" s="60"/>
      <c r="QTM21" s="60"/>
      <c r="QTQ21" s="60"/>
      <c r="QTU21" s="60"/>
      <c r="QTY21" s="60"/>
      <c r="QUC21" s="60"/>
      <c r="QUG21" s="60"/>
      <c r="QUK21" s="60"/>
      <c r="QUO21" s="60"/>
      <c r="QUS21" s="60"/>
      <c r="QUW21" s="60"/>
      <c r="QVA21" s="60"/>
      <c r="QVE21" s="60"/>
      <c r="QVI21" s="60"/>
      <c r="QVM21" s="60"/>
      <c r="QVQ21" s="60"/>
      <c r="QVU21" s="60"/>
      <c r="QVY21" s="60"/>
      <c r="QWC21" s="60"/>
      <c r="QWG21" s="60"/>
      <c r="QWK21" s="60"/>
      <c r="QWO21" s="60"/>
      <c r="QWS21" s="60"/>
      <c r="QWW21" s="60"/>
      <c r="QXA21" s="60"/>
      <c r="QXE21" s="60"/>
      <c r="QXI21" s="60"/>
      <c r="QXM21" s="60"/>
      <c r="QXQ21" s="60"/>
      <c r="QXU21" s="60"/>
      <c r="QXY21" s="60"/>
      <c r="QYC21" s="60"/>
      <c r="QYG21" s="60"/>
      <c r="QYK21" s="60"/>
      <c r="QYO21" s="60"/>
      <c r="QYS21" s="60"/>
      <c r="QYW21" s="60"/>
      <c r="QZA21" s="60"/>
      <c r="QZE21" s="60"/>
      <c r="QZI21" s="60"/>
      <c r="QZM21" s="60"/>
      <c r="QZQ21" s="60"/>
      <c r="QZU21" s="60"/>
      <c r="QZY21" s="60"/>
      <c r="RAC21" s="60"/>
      <c r="RAG21" s="60"/>
      <c r="RAK21" s="60"/>
      <c r="RAO21" s="60"/>
      <c r="RAS21" s="60"/>
      <c r="RAW21" s="60"/>
      <c r="RBA21" s="60"/>
      <c r="RBE21" s="60"/>
      <c r="RBI21" s="60"/>
      <c r="RBM21" s="60"/>
      <c r="RBQ21" s="60"/>
      <c r="RBU21" s="60"/>
      <c r="RBY21" s="60"/>
      <c r="RCC21" s="60"/>
      <c r="RCG21" s="60"/>
      <c r="RCK21" s="60"/>
      <c r="RCO21" s="60"/>
      <c r="RCS21" s="60"/>
      <c r="RCW21" s="60"/>
      <c r="RDA21" s="60"/>
      <c r="RDE21" s="60"/>
      <c r="RDI21" s="60"/>
      <c r="RDM21" s="60"/>
      <c r="RDQ21" s="60"/>
      <c r="RDU21" s="60"/>
      <c r="RDY21" s="60"/>
      <c r="REC21" s="60"/>
      <c r="REG21" s="60"/>
      <c r="REK21" s="60"/>
      <c r="REO21" s="60"/>
      <c r="RES21" s="60"/>
      <c r="REW21" s="60"/>
      <c r="RFA21" s="60"/>
      <c r="RFE21" s="60"/>
      <c r="RFI21" s="60"/>
      <c r="RFM21" s="60"/>
      <c r="RFQ21" s="60"/>
      <c r="RFU21" s="60"/>
      <c r="RFY21" s="60"/>
      <c r="RGC21" s="60"/>
      <c r="RGG21" s="60"/>
      <c r="RGK21" s="60"/>
      <c r="RGO21" s="60"/>
      <c r="RGS21" s="60"/>
      <c r="RGW21" s="60"/>
      <c r="RHA21" s="60"/>
      <c r="RHE21" s="60"/>
      <c r="RHI21" s="60"/>
      <c r="RHM21" s="60"/>
      <c r="RHQ21" s="60"/>
      <c r="RHU21" s="60"/>
      <c r="RHY21" s="60"/>
      <c r="RIC21" s="60"/>
      <c r="RIG21" s="60"/>
      <c r="RIK21" s="60"/>
      <c r="RIO21" s="60"/>
      <c r="RIS21" s="60"/>
      <c r="RIW21" s="60"/>
      <c r="RJA21" s="60"/>
      <c r="RJE21" s="60"/>
      <c r="RJI21" s="60"/>
      <c r="RJM21" s="60"/>
      <c r="RJQ21" s="60"/>
      <c r="RJU21" s="60"/>
      <c r="RJY21" s="60"/>
      <c r="RKC21" s="60"/>
      <c r="RKG21" s="60"/>
      <c r="RKK21" s="60"/>
      <c r="RKO21" s="60"/>
      <c r="RKS21" s="60"/>
      <c r="RKW21" s="60"/>
      <c r="RLA21" s="60"/>
      <c r="RLE21" s="60"/>
      <c r="RLI21" s="60"/>
      <c r="RLM21" s="60"/>
      <c r="RLQ21" s="60"/>
      <c r="RLU21" s="60"/>
      <c r="RLY21" s="60"/>
      <c r="RMC21" s="60"/>
      <c r="RMG21" s="60"/>
      <c r="RMK21" s="60"/>
      <c r="RMO21" s="60"/>
      <c r="RMS21" s="60"/>
      <c r="RMW21" s="60"/>
      <c r="RNA21" s="60"/>
      <c r="RNE21" s="60"/>
      <c r="RNI21" s="60"/>
      <c r="RNM21" s="60"/>
      <c r="RNQ21" s="60"/>
      <c r="RNU21" s="60"/>
      <c r="RNY21" s="60"/>
      <c r="ROC21" s="60"/>
      <c r="ROG21" s="60"/>
      <c r="ROK21" s="60"/>
      <c r="ROO21" s="60"/>
      <c r="ROS21" s="60"/>
      <c r="ROW21" s="60"/>
      <c r="RPA21" s="60"/>
      <c r="RPE21" s="60"/>
      <c r="RPI21" s="60"/>
      <c r="RPM21" s="60"/>
      <c r="RPQ21" s="60"/>
      <c r="RPU21" s="60"/>
      <c r="RPY21" s="60"/>
      <c r="RQC21" s="60"/>
      <c r="RQG21" s="60"/>
      <c r="RQK21" s="60"/>
      <c r="RQO21" s="60"/>
      <c r="RQS21" s="60"/>
      <c r="RQW21" s="60"/>
      <c r="RRA21" s="60"/>
      <c r="RRE21" s="60"/>
      <c r="RRI21" s="60"/>
      <c r="RRM21" s="60"/>
      <c r="RRQ21" s="60"/>
      <c r="RRU21" s="60"/>
      <c r="RRY21" s="60"/>
      <c r="RSC21" s="60"/>
      <c r="RSG21" s="60"/>
      <c r="RSK21" s="60"/>
      <c r="RSO21" s="60"/>
      <c r="RSS21" s="60"/>
      <c r="RSW21" s="60"/>
      <c r="RTA21" s="60"/>
      <c r="RTE21" s="60"/>
      <c r="RTI21" s="60"/>
      <c r="RTM21" s="60"/>
      <c r="RTQ21" s="60"/>
      <c r="RTU21" s="60"/>
      <c r="RTY21" s="60"/>
      <c r="RUC21" s="60"/>
      <c r="RUG21" s="60"/>
      <c r="RUK21" s="60"/>
      <c r="RUO21" s="60"/>
      <c r="RUS21" s="60"/>
      <c r="RUW21" s="60"/>
      <c r="RVA21" s="60"/>
      <c r="RVE21" s="60"/>
      <c r="RVI21" s="60"/>
      <c r="RVM21" s="60"/>
      <c r="RVQ21" s="60"/>
      <c r="RVU21" s="60"/>
      <c r="RVY21" s="60"/>
      <c r="RWC21" s="60"/>
      <c r="RWG21" s="60"/>
      <c r="RWK21" s="60"/>
      <c r="RWO21" s="60"/>
      <c r="RWS21" s="60"/>
      <c r="RWW21" s="60"/>
      <c r="RXA21" s="60"/>
      <c r="RXE21" s="60"/>
      <c r="RXI21" s="60"/>
      <c r="RXM21" s="60"/>
      <c r="RXQ21" s="60"/>
      <c r="RXU21" s="60"/>
      <c r="RXY21" s="60"/>
      <c r="RYC21" s="60"/>
      <c r="RYG21" s="60"/>
      <c r="RYK21" s="60"/>
      <c r="RYO21" s="60"/>
      <c r="RYS21" s="60"/>
      <c r="RYW21" s="60"/>
      <c r="RZA21" s="60"/>
      <c r="RZE21" s="60"/>
      <c r="RZI21" s="60"/>
      <c r="RZM21" s="60"/>
      <c r="RZQ21" s="60"/>
      <c r="RZU21" s="60"/>
      <c r="RZY21" s="60"/>
      <c r="SAC21" s="60"/>
      <c r="SAG21" s="60"/>
      <c r="SAK21" s="60"/>
      <c r="SAO21" s="60"/>
      <c r="SAS21" s="60"/>
      <c r="SAW21" s="60"/>
      <c r="SBA21" s="60"/>
      <c r="SBE21" s="60"/>
      <c r="SBI21" s="60"/>
      <c r="SBM21" s="60"/>
      <c r="SBQ21" s="60"/>
      <c r="SBU21" s="60"/>
      <c r="SBY21" s="60"/>
      <c r="SCC21" s="60"/>
      <c r="SCG21" s="60"/>
      <c r="SCK21" s="60"/>
      <c r="SCO21" s="60"/>
      <c r="SCS21" s="60"/>
      <c r="SCW21" s="60"/>
      <c r="SDA21" s="60"/>
      <c r="SDE21" s="60"/>
      <c r="SDI21" s="60"/>
      <c r="SDM21" s="60"/>
      <c r="SDQ21" s="60"/>
      <c r="SDU21" s="60"/>
      <c r="SDY21" s="60"/>
      <c r="SEC21" s="60"/>
      <c r="SEG21" s="60"/>
      <c r="SEK21" s="60"/>
      <c r="SEO21" s="60"/>
      <c r="SES21" s="60"/>
      <c r="SEW21" s="60"/>
      <c r="SFA21" s="60"/>
      <c r="SFE21" s="60"/>
      <c r="SFI21" s="60"/>
      <c r="SFM21" s="60"/>
      <c r="SFQ21" s="60"/>
      <c r="SFU21" s="60"/>
      <c r="SFY21" s="60"/>
      <c r="SGC21" s="60"/>
      <c r="SGG21" s="60"/>
      <c r="SGK21" s="60"/>
      <c r="SGO21" s="60"/>
      <c r="SGS21" s="60"/>
      <c r="SGW21" s="60"/>
      <c r="SHA21" s="60"/>
      <c r="SHE21" s="60"/>
      <c r="SHI21" s="60"/>
      <c r="SHM21" s="60"/>
      <c r="SHQ21" s="60"/>
      <c r="SHU21" s="60"/>
      <c r="SHY21" s="60"/>
      <c r="SIC21" s="60"/>
      <c r="SIG21" s="60"/>
      <c r="SIK21" s="60"/>
      <c r="SIO21" s="60"/>
      <c r="SIS21" s="60"/>
      <c r="SIW21" s="60"/>
      <c r="SJA21" s="60"/>
      <c r="SJE21" s="60"/>
      <c r="SJI21" s="60"/>
      <c r="SJM21" s="60"/>
      <c r="SJQ21" s="60"/>
      <c r="SJU21" s="60"/>
      <c r="SJY21" s="60"/>
      <c r="SKC21" s="60"/>
      <c r="SKG21" s="60"/>
      <c r="SKK21" s="60"/>
      <c r="SKO21" s="60"/>
      <c r="SKS21" s="60"/>
      <c r="SKW21" s="60"/>
      <c r="SLA21" s="60"/>
      <c r="SLE21" s="60"/>
      <c r="SLI21" s="60"/>
      <c r="SLM21" s="60"/>
      <c r="SLQ21" s="60"/>
      <c r="SLU21" s="60"/>
      <c r="SLY21" s="60"/>
      <c r="SMC21" s="60"/>
      <c r="SMG21" s="60"/>
      <c r="SMK21" s="60"/>
      <c r="SMO21" s="60"/>
      <c r="SMS21" s="60"/>
      <c r="SMW21" s="60"/>
      <c r="SNA21" s="60"/>
      <c r="SNE21" s="60"/>
      <c r="SNI21" s="60"/>
      <c r="SNM21" s="60"/>
      <c r="SNQ21" s="60"/>
      <c r="SNU21" s="60"/>
      <c r="SNY21" s="60"/>
      <c r="SOC21" s="60"/>
      <c r="SOG21" s="60"/>
      <c r="SOK21" s="60"/>
      <c r="SOO21" s="60"/>
      <c r="SOS21" s="60"/>
      <c r="SOW21" s="60"/>
      <c r="SPA21" s="60"/>
      <c r="SPE21" s="60"/>
      <c r="SPI21" s="60"/>
      <c r="SPM21" s="60"/>
      <c r="SPQ21" s="60"/>
      <c r="SPU21" s="60"/>
      <c r="SPY21" s="60"/>
      <c r="SQC21" s="60"/>
      <c r="SQG21" s="60"/>
      <c r="SQK21" s="60"/>
      <c r="SQO21" s="60"/>
      <c r="SQS21" s="60"/>
      <c r="SQW21" s="60"/>
      <c r="SRA21" s="60"/>
      <c r="SRE21" s="60"/>
      <c r="SRI21" s="60"/>
      <c r="SRM21" s="60"/>
      <c r="SRQ21" s="60"/>
      <c r="SRU21" s="60"/>
      <c r="SRY21" s="60"/>
      <c r="SSC21" s="60"/>
      <c r="SSG21" s="60"/>
      <c r="SSK21" s="60"/>
      <c r="SSO21" s="60"/>
      <c r="SSS21" s="60"/>
      <c r="SSW21" s="60"/>
      <c r="STA21" s="60"/>
      <c r="STE21" s="60"/>
      <c r="STI21" s="60"/>
      <c r="STM21" s="60"/>
      <c r="STQ21" s="60"/>
      <c r="STU21" s="60"/>
      <c r="STY21" s="60"/>
      <c r="SUC21" s="60"/>
      <c r="SUG21" s="60"/>
      <c r="SUK21" s="60"/>
      <c r="SUO21" s="60"/>
      <c r="SUS21" s="60"/>
      <c r="SUW21" s="60"/>
      <c r="SVA21" s="60"/>
      <c r="SVE21" s="60"/>
      <c r="SVI21" s="60"/>
      <c r="SVM21" s="60"/>
      <c r="SVQ21" s="60"/>
      <c r="SVU21" s="60"/>
      <c r="SVY21" s="60"/>
      <c r="SWC21" s="60"/>
      <c r="SWG21" s="60"/>
      <c r="SWK21" s="60"/>
      <c r="SWO21" s="60"/>
      <c r="SWS21" s="60"/>
      <c r="SWW21" s="60"/>
      <c r="SXA21" s="60"/>
      <c r="SXE21" s="60"/>
      <c r="SXI21" s="60"/>
      <c r="SXM21" s="60"/>
      <c r="SXQ21" s="60"/>
      <c r="SXU21" s="60"/>
      <c r="SXY21" s="60"/>
      <c r="SYC21" s="60"/>
      <c r="SYG21" s="60"/>
      <c r="SYK21" s="60"/>
      <c r="SYO21" s="60"/>
      <c r="SYS21" s="60"/>
      <c r="SYW21" s="60"/>
      <c r="SZA21" s="60"/>
      <c r="SZE21" s="60"/>
      <c r="SZI21" s="60"/>
      <c r="SZM21" s="60"/>
      <c r="SZQ21" s="60"/>
      <c r="SZU21" s="60"/>
      <c r="SZY21" s="60"/>
      <c r="TAC21" s="60"/>
      <c r="TAG21" s="60"/>
      <c r="TAK21" s="60"/>
      <c r="TAO21" s="60"/>
      <c r="TAS21" s="60"/>
      <c r="TAW21" s="60"/>
      <c r="TBA21" s="60"/>
      <c r="TBE21" s="60"/>
      <c r="TBI21" s="60"/>
      <c r="TBM21" s="60"/>
      <c r="TBQ21" s="60"/>
      <c r="TBU21" s="60"/>
      <c r="TBY21" s="60"/>
      <c r="TCC21" s="60"/>
      <c r="TCG21" s="60"/>
      <c r="TCK21" s="60"/>
      <c r="TCO21" s="60"/>
      <c r="TCS21" s="60"/>
      <c r="TCW21" s="60"/>
      <c r="TDA21" s="60"/>
      <c r="TDE21" s="60"/>
      <c r="TDI21" s="60"/>
      <c r="TDM21" s="60"/>
      <c r="TDQ21" s="60"/>
      <c r="TDU21" s="60"/>
      <c r="TDY21" s="60"/>
      <c r="TEC21" s="60"/>
      <c r="TEG21" s="60"/>
      <c r="TEK21" s="60"/>
      <c r="TEO21" s="60"/>
      <c r="TES21" s="60"/>
      <c r="TEW21" s="60"/>
      <c r="TFA21" s="60"/>
      <c r="TFE21" s="60"/>
      <c r="TFI21" s="60"/>
      <c r="TFM21" s="60"/>
      <c r="TFQ21" s="60"/>
      <c r="TFU21" s="60"/>
      <c r="TFY21" s="60"/>
      <c r="TGC21" s="60"/>
      <c r="TGG21" s="60"/>
      <c r="TGK21" s="60"/>
      <c r="TGO21" s="60"/>
      <c r="TGS21" s="60"/>
      <c r="TGW21" s="60"/>
      <c r="THA21" s="60"/>
      <c r="THE21" s="60"/>
      <c r="THI21" s="60"/>
      <c r="THM21" s="60"/>
      <c r="THQ21" s="60"/>
      <c r="THU21" s="60"/>
      <c r="THY21" s="60"/>
      <c r="TIC21" s="60"/>
      <c r="TIG21" s="60"/>
      <c r="TIK21" s="60"/>
      <c r="TIO21" s="60"/>
      <c r="TIS21" s="60"/>
      <c r="TIW21" s="60"/>
      <c r="TJA21" s="60"/>
      <c r="TJE21" s="60"/>
      <c r="TJI21" s="60"/>
      <c r="TJM21" s="60"/>
      <c r="TJQ21" s="60"/>
      <c r="TJU21" s="60"/>
      <c r="TJY21" s="60"/>
      <c r="TKC21" s="60"/>
      <c r="TKG21" s="60"/>
      <c r="TKK21" s="60"/>
      <c r="TKO21" s="60"/>
      <c r="TKS21" s="60"/>
      <c r="TKW21" s="60"/>
      <c r="TLA21" s="60"/>
      <c r="TLE21" s="60"/>
      <c r="TLI21" s="60"/>
      <c r="TLM21" s="60"/>
      <c r="TLQ21" s="60"/>
      <c r="TLU21" s="60"/>
      <c r="TLY21" s="60"/>
      <c r="TMC21" s="60"/>
      <c r="TMG21" s="60"/>
      <c r="TMK21" s="60"/>
      <c r="TMO21" s="60"/>
      <c r="TMS21" s="60"/>
      <c r="TMW21" s="60"/>
      <c r="TNA21" s="60"/>
      <c r="TNE21" s="60"/>
      <c r="TNI21" s="60"/>
      <c r="TNM21" s="60"/>
      <c r="TNQ21" s="60"/>
      <c r="TNU21" s="60"/>
      <c r="TNY21" s="60"/>
      <c r="TOC21" s="60"/>
      <c r="TOG21" s="60"/>
      <c r="TOK21" s="60"/>
      <c r="TOO21" s="60"/>
      <c r="TOS21" s="60"/>
      <c r="TOW21" s="60"/>
      <c r="TPA21" s="60"/>
      <c r="TPE21" s="60"/>
      <c r="TPI21" s="60"/>
      <c r="TPM21" s="60"/>
      <c r="TPQ21" s="60"/>
      <c r="TPU21" s="60"/>
      <c r="TPY21" s="60"/>
      <c r="TQC21" s="60"/>
      <c r="TQG21" s="60"/>
      <c r="TQK21" s="60"/>
      <c r="TQO21" s="60"/>
      <c r="TQS21" s="60"/>
      <c r="TQW21" s="60"/>
      <c r="TRA21" s="60"/>
      <c r="TRE21" s="60"/>
      <c r="TRI21" s="60"/>
      <c r="TRM21" s="60"/>
      <c r="TRQ21" s="60"/>
      <c r="TRU21" s="60"/>
      <c r="TRY21" s="60"/>
      <c r="TSC21" s="60"/>
      <c r="TSG21" s="60"/>
      <c r="TSK21" s="60"/>
      <c r="TSO21" s="60"/>
      <c r="TSS21" s="60"/>
      <c r="TSW21" s="60"/>
      <c r="TTA21" s="60"/>
      <c r="TTE21" s="60"/>
      <c r="TTI21" s="60"/>
      <c r="TTM21" s="60"/>
      <c r="TTQ21" s="60"/>
      <c r="TTU21" s="60"/>
      <c r="TTY21" s="60"/>
      <c r="TUC21" s="60"/>
      <c r="TUG21" s="60"/>
      <c r="TUK21" s="60"/>
      <c r="TUO21" s="60"/>
      <c r="TUS21" s="60"/>
      <c r="TUW21" s="60"/>
      <c r="TVA21" s="60"/>
      <c r="TVE21" s="60"/>
      <c r="TVI21" s="60"/>
      <c r="TVM21" s="60"/>
      <c r="TVQ21" s="60"/>
      <c r="TVU21" s="60"/>
      <c r="TVY21" s="60"/>
      <c r="TWC21" s="60"/>
      <c r="TWG21" s="60"/>
      <c r="TWK21" s="60"/>
      <c r="TWO21" s="60"/>
      <c r="TWS21" s="60"/>
      <c r="TWW21" s="60"/>
      <c r="TXA21" s="60"/>
      <c r="TXE21" s="60"/>
      <c r="TXI21" s="60"/>
      <c r="TXM21" s="60"/>
      <c r="TXQ21" s="60"/>
      <c r="TXU21" s="60"/>
      <c r="TXY21" s="60"/>
      <c r="TYC21" s="60"/>
      <c r="TYG21" s="60"/>
      <c r="TYK21" s="60"/>
      <c r="TYO21" s="60"/>
      <c r="TYS21" s="60"/>
      <c r="TYW21" s="60"/>
      <c r="TZA21" s="60"/>
      <c r="TZE21" s="60"/>
      <c r="TZI21" s="60"/>
      <c r="TZM21" s="60"/>
      <c r="TZQ21" s="60"/>
      <c r="TZU21" s="60"/>
      <c r="TZY21" s="60"/>
      <c r="UAC21" s="60"/>
      <c r="UAG21" s="60"/>
      <c r="UAK21" s="60"/>
      <c r="UAO21" s="60"/>
      <c r="UAS21" s="60"/>
      <c r="UAW21" s="60"/>
      <c r="UBA21" s="60"/>
      <c r="UBE21" s="60"/>
      <c r="UBI21" s="60"/>
      <c r="UBM21" s="60"/>
      <c r="UBQ21" s="60"/>
      <c r="UBU21" s="60"/>
      <c r="UBY21" s="60"/>
      <c r="UCC21" s="60"/>
      <c r="UCG21" s="60"/>
      <c r="UCK21" s="60"/>
      <c r="UCO21" s="60"/>
      <c r="UCS21" s="60"/>
      <c r="UCW21" s="60"/>
      <c r="UDA21" s="60"/>
      <c r="UDE21" s="60"/>
      <c r="UDI21" s="60"/>
      <c r="UDM21" s="60"/>
      <c r="UDQ21" s="60"/>
      <c r="UDU21" s="60"/>
      <c r="UDY21" s="60"/>
      <c r="UEC21" s="60"/>
      <c r="UEG21" s="60"/>
      <c r="UEK21" s="60"/>
      <c r="UEO21" s="60"/>
      <c r="UES21" s="60"/>
      <c r="UEW21" s="60"/>
      <c r="UFA21" s="60"/>
      <c r="UFE21" s="60"/>
      <c r="UFI21" s="60"/>
      <c r="UFM21" s="60"/>
      <c r="UFQ21" s="60"/>
      <c r="UFU21" s="60"/>
      <c r="UFY21" s="60"/>
      <c r="UGC21" s="60"/>
      <c r="UGG21" s="60"/>
      <c r="UGK21" s="60"/>
      <c r="UGO21" s="60"/>
      <c r="UGS21" s="60"/>
      <c r="UGW21" s="60"/>
      <c r="UHA21" s="60"/>
      <c r="UHE21" s="60"/>
      <c r="UHI21" s="60"/>
      <c r="UHM21" s="60"/>
      <c r="UHQ21" s="60"/>
      <c r="UHU21" s="60"/>
      <c r="UHY21" s="60"/>
      <c r="UIC21" s="60"/>
      <c r="UIG21" s="60"/>
      <c r="UIK21" s="60"/>
      <c r="UIO21" s="60"/>
      <c r="UIS21" s="60"/>
      <c r="UIW21" s="60"/>
      <c r="UJA21" s="60"/>
      <c r="UJE21" s="60"/>
      <c r="UJI21" s="60"/>
      <c r="UJM21" s="60"/>
      <c r="UJQ21" s="60"/>
      <c r="UJU21" s="60"/>
      <c r="UJY21" s="60"/>
      <c r="UKC21" s="60"/>
      <c r="UKG21" s="60"/>
      <c r="UKK21" s="60"/>
      <c r="UKO21" s="60"/>
      <c r="UKS21" s="60"/>
      <c r="UKW21" s="60"/>
      <c r="ULA21" s="60"/>
      <c r="ULE21" s="60"/>
      <c r="ULI21" s="60"/>
      <c r="ULM21" s="60"/>
      <c r="ULQ21" s="60"/>
      <c r="ULU21" s="60"/>
      <c r="ULY21" s="60"/>
      <c r="UMC21" s="60"/>
      <c r="UMG21" s="60"/>
      <c r="UMK21" s="60"/>
      <c r="UMO21" s="60"/>
      <c r="UMS21" s="60"/>
      <c r="UMW21" s="60"/>
      <c r="UNA21" s="60"/>
      <c r="UNE21" s="60"/>
      <c r="UNI21" s="60"/>
      <c r="UNM21" s="60"/>
      <c r="UNQ21" s="60"/>
      <c r="UNU21" s="60"/>
      <c r="UNY21" s="60"/>
      <c r="UOC21" s="60"/>
      <c r="UOG21" s="60"/>
      <c r="UOK21" s="60"/>
      <c r="UOO21" s="60"/>
      <c r="UOS21" s="60"/>
      <c r="UOW21" s="60"/>
      <c r="UPA21" s="60"/>
      <c r="UPE21" s="60"/>
      <c r="UPI21" s="60"/>
      <c r="UPM21" s="60"/>
      <c r="UPQ21" s="60"/>
      <c r="UPU21" s="60"/>
      <c r="UPY21" s="60"/>
      <c r="UQC21" s="60"/>
      <c r="UQG21" s="60"/>
      <c r="UQK21" s="60"/>
      <c r="UQO21" s="60"/>
      <c r="UQS21" s="60"/>
      <c r="UQW21" s="60"/>
      <c r="URA21" s="60"/>
      <c r="URE21" s="60"/>
      <c r="URI21" s="60"/>
      <c r="URM21" s="60"/>
      <c r="URQ21" s="60"/>
      <c r="URU21" s="60"/>
      <c r="URY21" s="60"/>
      <c r="USC21" s="60"/>
      <c r="USG21" s="60"/>
      <c r="USK21" s="60"/>
      <c r="USO21" s="60"/>
      <c r="USS21" s="60"/>
      <c r="USW21" s="60"/>
      <c r="UTA21" s="60"/>
      <c r="UTE21" s="60"/>
      <c r="UTI21" s="60"/>
      <c r="UTM21" s="60"/>
      <c r="UTQ21" s="60"/>
      <c r="UTU21" s="60"/>
      <c r="UTY21" s="60"/>
      <c r="UUC21" s="60"/>
      <c r="UUG21" s="60"/>
      <c r="UUK21" s="60"/>
      <c r="UUO21" s="60"/>
      <c r="UUS21" s="60"/>
      <c r="UUW21" s="60"/>
      <c r="UVA21" s="60"/>
      <c r="UVE21" s="60"/>
      <c r="UVI21" s="60"/>
      <c r="UVM21" s="60"/>
      <c r="UVQ21" s="60"/>
      <c r="UVU21" s="60"/>
      <c r="UVY21" s="60"/>
      <c r="UWC21" s="60"/>
      <c r="UWG21" s="60"/>
      <c r="UWK21" s="60"/>
      <c r="UWO21" s="60"/>
      <c r="UWS21" s="60"/>
      <c r="UWW21" s="60"/>
      <c r="UXA21" s="60"/>
      <c r="UXE21" s="60"/>
      <c r="UXI21" s="60"/>
      <c r="UXM21" s="60"/>
      <c r="UXQ21" s="60"/>
      <c r="UXU21" s="60"/>
      <c r="UXY21" s="60"/>
      <c r="UYC21" s="60"/>
      <c r="UYG21" s="60"/>
      <c r="UYK21" s="60"/>
      <c r="UYO21" s="60"/>
      <c r="UYS21" s="60"/>
      <c r="UYW21" s="60"/>
      <c r="UZA21" s="60"/>
      <c r="UZE21" s="60"/>
      <c r="UZI21" s="60"/>
      <c r="UZM21" s="60"/>
      <c r="UZQ21" s="60"/>
      <c r="UZU21" s="60"/>
      <c r="UZY21" s="60"/>
      <c r="VAC21" s="60"/>
      <c r="VAG21" s="60"/>
      <c r="VAK21" s="60"/>
      <c r="VAO21" s="60"/>
      <c r="VAS21" s="60"/>
      <c r="VAW21" s="60"/>
      <c r="VBA21" s="60"/>
      <c r="VBE21" s="60"/>
      <c r="VBI21" s="60"/>
      <c r="VBM21" s="60"/>
      <c r="VBQ21" s="60"/>
      <c r="VBU21" s="60"/>
      <c r="VBY21" s="60"/>
      <c r="VCC21" s="60"/>
      <c r="VCG21" s="60"/>
      <c r="VCK21" s="60"/>
      <c r="VCO21" s="60"/>
      <c r="VCS21" s="60"/>
      <c r="VCW21" s="60"/>
      <c r="VDA21" s="60"/>
      <c r="VDE21" s="60"/>
      <c r="VDI21" s="60"/>
      <c r="VDM21" s="60"/>
      <c r="VDQ21" s="60"/>
      <c r="VDU21" s="60"/>
      <c r="VDY21" s="60"/>
      <c r="VEC21" s="60"/>
      <c r="VEG21" s="60"/>
      <c r="VEK21" s="60"/>
      <c r="VEO21" s="60"/>
      <c r="VES21" s="60"/>
      <c r="VEW21" s="60"/>
      <c r="VFA21" s="60"/>
      <c r="VFE21" s="60"/>
      <c r="VFI21" s="60"/>
      <c r="VFM21" s="60"/>
      <c r="VFQ21" s="60"/>
      <c r="VFU21" s="60"/>
      <c r="VFY21" s="60"/>
      <c r="VGC21" s="60"/>
      <c r="VGG21" s="60"/>
      <c r="VGK21" s="60"/>
      <c r="VGO21" s="60"/>
      <c r="VGS21" s="60"/>
      <c r="VGW21" s="60"/>
      <c r="VHA21" s="60"/>
      <c r="VHE21" s="60"/>
      <c r="VHI21" s="60"/>
      <c r="VHM21" s="60"/>
      <c r="VHQ21" s="60"/>
      <c r="VHU21" s="60"/>
      <c r="VHY21" s="60"/>
      <c r="VIC21" s="60"/>
      <c r="VIG21" s="60"/>
      <c r="VIK21" s="60"/>
      <c r="VIO21" s="60"/>
      <c r="VIS21" s="60"/>
      <c r="VIW21" s="60"/>
      <c r="VJA21" s="60"/>
      <c r="VJE21" s="60"/>
      <c r="VJI21" s="60"/>
      <c r="VJM21" s="60"/>
      <c r="VJQ21" s="60"/>
      <c r="VJU21" s="60"/>
      <c r="VJY21" s="60"/>
      <c r="VKC21" s="60"/>
      <c r="VKG21" s="60"/>
      <c r="VKK21" s="60"/>
      <c r="VKO21" s="60"/>
      <c r="VKS21" s="60"/>
      <c r="VKW21" s="60"/>
      <c r="VLA21" s="60"/>
      <c r="VLE21" s="60"/>
      <c r="VLI21" s="60"/>
      <c r="VLM21" s="60"/>
      <c r="VLQ21" s="60"/>
      <c r="VLU21" s="60"/>
      <c r="VLY21" s="60"/>
      <c r="VMC21" s="60"/>
      <c r="VMG21" s="60"/>
      <c r="VMK21" s="60"/>
      <c r="VMO21" s="60"/>
      <c r="VMS21" s="60"/>
      <c r="VMW21" s="60"/>
      <c r="VNA21" s="60"/>
      <c r="VNE21" s="60"/>
      <c r="VNI21" s="60"/>
      <c r="VNM21" s="60"/>
      <c r="VNQ21" s="60"/>
      <c r="VNU21" s="60"/>
      <c r="VNY21" s="60"/>
      <c r="VOC21" s="60"/>
      <c r="VOG21" s="60"/>
      <c r="VOK21" s="60"/>
      <c r="VOO21" s="60"/>
      <c r="VOS21" s="60"/>
      <c r="VOW21" s="60"/>
      <c r="VPA21" s="60"/>
      <c r="VPE21" s="60"/>
      <c r="VPI21" s="60"/>
      <c r="VPM21" s="60"/>
      <c r="VPQ21" s="60"/>
      <c r="VPU21" s="60"/>
      <c r="VPY21" s="60"/>
      <c r="VQC21" s="60"/>
      <c r="VQG21" s="60"/>
      <c r="VQK21" s="60"/>
      <c r="VQO21" s="60"/>
      <c r="VQS21" s="60"/>
      <c r="VQW21" s="60"/>
      <c r="VRA21" s="60"/>
      <c r="VRE21" s="60"/>
      <c r="VRI21" s="60"/>
      <c r="VRM21" s="60"/>
      <c r="VRQ21" s="60"/>
      <c r="VRU21" s="60"/>
      <c r="VRY21" s="60"/>
      <c r="VSC21" s="60"/>
      <c r="VSG21" s="60"/>
      <c r="VSK21" s="60"/>
      <c r="VSO21" s="60"/>
      <c r="VSS21" s="60"/>
      <c r="VSW21" s="60"/>
      <c r="VTA21" s="60"/>
      <c r="VTE21" s="60"/>
      <c r="VTI21" s="60"/>
      <c r="VTM21" s="60"/>
      <c r="VTQ21" s="60"/>
      <c r="VTU21" s="60"/>
      <c r="VTY21" s="60"/>
      <c r="VUC21" s="60"/>
      <c r="VUG21" s="60"/>
      <c r="VUK21" s="60"/>
      <c r="VUO21" s="60"/>
      <c r="VUS21" s="60"/>
      <c r="VUW21" s="60"/>
      <c r="VVA21" s="60"/>
      <c r="VVE21" s="60"/>
      <c r="VVI21" s="60"/>
      <c r="VVM21" s="60"/>
      <c r="VVQ21" s="60"/>
      <c r="VVU21" s="60"/>
      <c r="VVY21" s="60"/>
      <c r="VWC21" s="60"/>
      <c r="VWG21" s="60"/>
      <c r="VWK21" s="60"/>
      <c r="VWO21" s="60"/>
      <c r="VWS21" s="60"/>
      <c r="VWW21" s="60"/>
      <c r="VXA21" s="60"/>
      <c r="VXE21" s="60"/>
      <c r="VXI21" s="60"/>
      <c r="VXM21" s="60"/>
      <c r="VXQ21" s="60"/>
      <c r="VXU21" s="60"/>
      <c r="VXY21" s="60"/>
      <c r="VYC21" s="60"/>
      <c r="VYG21" s="60"/>
      <c r="VYK21" s="60"/>
      <c r="VYO21" s="60"/>
      <c r="VYS21" s="60"/>
      <c r="VYW21" s="60"/>
      <c r="VZA21" s="60"/>
      <c r="VZE21" s="60"/>
      <c r="VZI21" s="60"/>
      <c r="VZM21" s="60"/>
      <c r="VZQ21" s="60"/>
      <c r="VZU21" s="60"/>
      <c r="VZY21" s="60"/>
      <c r="WAC21" s="60"/>
      <c r="WAG21" s="60"/>
      <c r="WAK21" s="60"/>
      <c r="WAO21" s="60"/>
      <c r="WAS21" s="60"/>
      <c r="WAW21" s="60"/>
      <c r="WBA21" s="60"/>
      <c r="WBE21" s="60"/>
      <c r="WBI21" s="60"/>
      <c r="WBM21" s="60"/>
      <c r="WBQ21" s="60"/>
      <c r="WBU21" s="60"/>
      <c r="WBY21" s="60"/>
      <c r="WCC21" s="60"/>
      <c r="WCG21" s="60"/>
      <c r="WCK21" s="60"/>
      <c r="WCO21" s="60"/>
      <c r="WCS21" s="60"/>
      <c r="WCW21" s="60"/>
      <c r="WDA21" s="60"/>
      <c r="WDE21" s="60"/>
      <c r="WDI21" s="60"/>
      <c r="WDM21" s="60"/>
      <c r="WDQ21" s="60"/>
      <c r="WDU21" s="60"/>
      <c r="WDY21" s="60"/>
      <c r="WEC21" s="60"/>
      <c r="WEG21" s="60"/>
      <c r="WEK21" s="60"/>
      <c r="WEO21" s="60"/>
      <c r="WES21" s="60"/>
      <c r="WEW21" s="60"/>
      <c r="WFA21" s="60"/>
      <c r="WFE21" s="60"/>
      <c r="WFI21" s="60"/>
      <c r="WFM21" s="60"/>
      <c r="WFQ21" s="60"/>
      <c r="WFU21" s="60"/>
      <c r="WFY21" s="60"/>
      <c r="WGC21" s="60"/>
      <c r="WGG21" s="60"/>
      <c r="WGK21" s="60"/>
      <c r="WGO21" s="60"/>
      <c r="WGS21" s="60"/>
      <c r="WGW21" s="60"/>
      <c r="WHA21" s="60"/>
      <c r="WHE21" s="60"/>
      <c r="WHI21" s="60"/>
      <c r="WHM21" s="60"/>
      <c r="WHQ21" s="60"/>
      <c r="WHU21" s="60"/>
      <c r="WHY21" s="60"/>
      <c r="WIC21" s="60"/>
      <c r="WIG21" s="60"/>
      <c r="WIK21" s="60"/>
      <c r="WIO21" s="60"/>
      <c r="WIS21" s="60"/>
      <c r="WIW21" s="60"/>
      <c r="WJA21" s="60"/>
      <c r="WJE21" s="60"/>
      <c r="WJI21" s="60"/>
      <c r="WJM21" s="60"/>
      <c r="WJQ21" s="60"/>
      <c r="WJU21" s="60"/>
      <c r="WJY21" s="60"/>
      <c r="WKC21" s="60"/>
      <c r="WKG21" s="60"/>
      <c r="WKK21" s="60"/>
      <c r="WKO21" s="60"/>
      <c r="WKS21" s="60"/>
      <c r="WKW21" s="60"/>
      <c r="WLA21" s="60"/>
      <c r="WLE21" s="60"/>
      <c r="WLI21" s="60"/>
      <c r="WLM21" s="60"/>
      <c r="WLQ21" s="60"/>
      <c r="WLU21" s="60"/>
      <c r="WLY21" s="60"/>
      <c r="WMC21" s="60"/>
      <c r="WMG21" s="60"/>
      <c r="WMK21" s="60"/>
      <c r="WMO21" s="60"/>
      <c r="WMS21" s="60"/>
      <c r="WMW21" s="60"/>
      <c r="WNA21" s="60"/>
      <c r="WNE21" s="60"/>
      <c r="WNI21" s="60"/>
      <c r="WNM21" s="60"/>
      <c r="WNQ21" s="60"/>
      <c r="WNU21" s="60"/>
      <c r="WNY21" s="60"/>
      <c r="WOC21" s="60"/>
      <c r="WOG21" s="60"/>
      <c r="WOK21" s="60"/>
      <c r="WOO21" s="60"/>
      <c r="WOS21" s="60"/>
      <c r="WOW21" s="60"/>
      <c r="WPA21" s="60"/>
      <c r="WPE21" s="60"/>
      <c r="WPI21" s="60"/>
      <c r="WPM21" s="60"/>
      <c r="WPQ21" s="60"/>
      <c r="WPU21" s="60"/>
      <c r="WPY21" s="60"/>
      <c r="WQC21" s="60"/>
      <c r="WQG21" s="60"/>
      <c r="WQK21" s="60"/>
      <c r="WQO21" s="60"/>
      <c r="WQS21" s="60"/>
      <c r="WQW21" s="60"/>
      <c r="WRA21" s="60"/>
      <c r="WRE21" s="60"/>
      <c r="WRI21" s="60"/>
      <c r="WRM21" s="60"/>
      <c r="WRQ21" s="60"/>
      <c r="WRU21" s="60"/>
      <c r="WRY21" s="60"/>
      <c r="WSC21" s="60"/>
      <c r="WSG21" s="60"/>
      <c r="WSK21" s="60"/>
      <c r="WSO21" s="60"/>
      <c r="WSS21" s="60"/>
      <c r="WSW21" s="60"/>
      <c r="WTA21" s="60"/>
      <c r="WTE21" s="60"/>
      <c r="WTI21" s="60"/>
      <c r="WTM21" s="60"/>
      <c r="WTQ21" s="60"/>
      <c r="WTU21" s="60"/>
      <c r="WTY21" s="60"/>
      <c r="WUC21" s="60"/>
      <c r="WUG21" s="60"/>
      <c r="WUK21" s="60"/>
      <c r="WUO21" s="60"/>
      <c r="WUS21" s="60"/>
      <c r="WUW21" s="60"/>
      <c r="WVA21" s="60"/>
      <c r="WVE21" s="60"/>
      <c r="WVI21" s="60"/>
      <c r="WVM21" s="60"/>
      <c r="WVQ21" s="60"/>
      <c r="WVU21" s="60"/>
      <c r="WVY21" s="60"/>
      <c r="WWC21" s="60"/>
      <c r="WWG21" s="60"/>
      <c r="WWK21" s="60"/>
      <c r="WWO21" s="60"/>
      <c r="WWS21" s="60"/>
      <c r="WWW21" s="60"/>
      <c r="WXA21" s="60"/>
      <c r="WXE21" s="60"/>
      <c r="WXI21" s="60"/>
      <c r="WXM21" s="60"/>
      <c r="WXQ21" s="60"/>
      <c r="WXU21" s="60"/>
      <c r="WXY21" s="60"/>
      <c r="WYC21" s="60"/>
      <c r="WYG21" s="60"/>
      <c r="WYK21" s="60"/>
      <c r="WYO21" s="60"/>
      <c r="WYS21" s="60"/>
      <c r="WYW21" s="60"/>
      <c r="WZA21" s="60"/>
      <c r="WZE21" s="60"/>
      <c r="WZI21" s="60"/>
      <c r="WZM21" s="60"/>
      <c r="WZQ21" s="60"/>
      <c r="WZU21" s="60"/>
      <c r="WZY21" s="60"/>
      <c r="XAC21" s="60"/>
      <c r="XAG21" s="60"/>
      <c r="XAK21" s="60"/>
      <c r="XAO21" s="60"/>
      <c r="XAS21" s="60"/>
      <c r="XAW21" s="60"/>
      <c r="XBA21" s="60"/>
      <c r="XBE21" s="60"/>
      <c r="XBI21" s="60"/>
      <c r="XBM21" s="60"/>
      <c r="XBQ21" s="60"/>
      <c r="XBU21" s="60"/>
      <c r="XBY21" s="60"/>
      <c r="XCC21" s="60"/>
      <c r="XCG21" s="60"/>
      <c r="XCK21" s="60"/>
      <c r="XCO21" s="60"/>
      <c r="XCS21" s="60"/>
      <c r="XCW21" s="60"/>
      <c r="XDA21" s="60"/>
      <c r="XDE21" s="60"/>
      <c r="XDI21" s="60"/>
      <c r="XDM21" s="60"/>
      <c r="XDQ21" s="60"/>
      <c r="XDU21" s="60"/>
      <c r="XDY21" s="60"/>
      <c r="XEC21" s="60"/>
      <c r="XEG21" s="60"/>
      <c r="XEK21" s="60"/>
      <c r="XEO21" s="60"/>
      <c r="XES21" s="60"/>
      <c r="XEW21" s="60"/>
      <c r="XFA21" s="60"/>
    </row>
    <row r="22" spans="1:1021 1025:2045 2049:3069 3073:4093 4097:5117 5121:6141 6145:7165 7169:8189 8193:9213 9217:10237 10241:11261 11265:12285 12289:13309 13313:14333 14337:15357 15361:16381" x14ac:dyDescent="0.35">
      <c r="B22" s="1">
        <v>15</v>
      </c>
      <c r="C22" s="1" t="s">
        <v>698</v>
      </c>
      <c r="D22" s="1" t="s">
        <v>698</v>
      </c>
      <c r="E22" s="1" t="s">
        <v>698</v>
      </c>
      <c r="F22" s="1" t="s">
        <v>698</v>
      </c>
      <c r="G22" s="1" t="s">
        <v>698</v>
      </c>
      <c r="H22" s="1" t="s">
        <v>698</v>
      </c>
      <c r="I22" s="1" t="s">
        <v>698</v>
      </c>
      <c r="J22" s="1">
        <f t="shared" si="0"/>
        <v>1</v>
      </c>
      <c r="L22" s="1" t="s">
        <v>723</v>
      </c>
      <c r="M22" s="7">
        <v>19</v>
      </c>
      <c r="N22" s="5" t="s">
        <v>86</v>
      </c>
      <c r="O22" s="3" t="s">
        <v>85</v>
      </c>
      <c r="P22" s="3" t="s">
        <v>14</v>
      </c>
      <c r="Q22" s="2">
        <v>4</v>
      </c>
      <c r="R22" s="43">
        <f>VLOOKUP('15'!O22,Malzemeler!C:D,2,0)</f>
        <v>0.4</v>
      </c>
      <c r="S22" s="43">
        <f t="shared" si="1"/>
        <v>1.6</v>
      </c>
    </row>
    <row r="23" spans="1:1021 1025:2045 2049:3069 3073:4093 4097:5117 5121:6141 6145:7165 7169:8189 8193:9213 9217:10237 10241:11261 11265:12285 12289:13309 13313:14333 14337:15357 15361:16381" x14ac:dyDescent="0.35">
      <c r="B23" s="1">
        <v>15</v>
      </c>
      <c r="C23" s="1" t="s">
        <v>698</v>
      </c>
      <c r="D23" s="1" t="s">
        <v>698</v>
      </c>
      <c r="E23" s="1" t="s">
        <v>698</v>
      </c>
      <c r="F23" s="1" t="s">
        <v>698</v>
      </c>
      <c r="G23" s="1" t="s">
        <v>698</v>
      </c>
      <c r="H23" s="1" t="s">
        <v>698</v>
      </c>
      <c r="I23" s="1" t="s">
        <v>698</v>
      </c>
      <c r="J23" s="1">
        <f t="shared" si="0"/>
        <v>1</v>
      </c>
      <c r="L23" s="1" t="s">
        <v>723</v>
      </c>
      <c r="M23" s="7">
        <v>20</v>
      </c>
      <c r="N23" s="5" t="s">
        <v>87</v>
      </c>
      <c r="O23" s="3" t="s">
        <v>88</v>
      </c>
      <c r="P23" s="3" t="s">
        <v>14</v>
      </c>
      <c r="Q23" s="2">
        <v>0.3</v>
      </c>
      <c r="R23" s="43">
        <f>VLOOKUP('15'!O23,Malzemeler!C:D,2,0)</f>
        <v>1615.6</v>
      </c>
      <c r="S23" s="43">
        <f t="shared" si="1"/>
        <v>484.67999999999995</v>
      </c>
    </row>
    <row r="24" spans="1:1021 1025:2045 2049:3069 3073:4093 4097:5117 5121:6141 6145:7165 7169:8189 8193:9213 9217:10237 10241:11261 11265:12285 12289:13309 13313:14333 14337:15357 15361:16381" x14ac:dyDescent="0.35">
      <c r="B24" s="1">
        <v>15</v>
      </c>
      <c r="C24" s="1" t="s">
        <v>698</v>
      </c>
      <c r="D24" s="1" t="s">
        <v>698</v>
      </c>
      <c r="E24" s="1" t="s">
        <v>698</v>
      </c>
      <c r="F24" s="1" t="s">
        <v>698</v>
      </c>
      <c r="G24" s="1" t="s">
        <v>698</v>
      </c>
      <c r="H24" s="1" t="s">
        <v>698</v>
      </c>
      <c r="I24" s="1" t="s">
        <v>698</v>
      </c>
      <c r="J24" s="1">
        <f t="shared" si="0"/>
        <v>1</v>
      </c>
      <c r="L24" s="1" t="s">
        <v>723</v>
      </c>
      <c r="M24" s="7">
        <v>21</v>
      </c>
      <c r="N24" s="5" t="s">
        <v>69</v>
      </c>
      <c r="O24" s="3" t="s">
        <v>81</v>
      </c>
      <c r="P24" s="3" t="s">
        <v>14</v>
      </c>
      <c r="Q24" s="2">
        <v>0.3</v>
      </c>
      <c r="R24" s="43">
        <f>VLOOKUP('15'!O24,Malzemeler!C:D,2,0)</f>
        <v>40</v>
      </c>
      <c r="S24" s="43">
        <f t="shared" si="1"/>
        <v>12</v>
      </c>
    </row>
    <row r="25" spans="1:1021 1025:2045 2049:3069 3073:4093 4097:5117 5121:6141 6145:7165 7169:8189 8193:9213 9217:10237 10241:11261 11265:12285 12289:13309 13313:14333 14337:15357 15361:16381" x14ac:dyDescent="0.35">
      <c r="B25" s="1">
        <v>15</v>
      </c>
      <c r="C25" s="1" t="s">
        <v>698</v>
      </c>
      <c r="D25" s="1" t="s">
        <v>698</v>
      </c>
      <c r="E25" s="1" t="s">
        <v>698</v>
      </c>
      <c r="F25" s="1" t="s">
        <v>698</v>
      </c>
      <c r="G25" s="1" t="s">
        <v>698</v>
      </c>
      <c r="H25" s="1" t="s">
        <v>698</v>
      </c>
      <c r="I25" s="1" t="s">
        <v>698</v>
      </c>
      <c r="J25" s="1">
        <f t="shared" si="0"/>
        <v>1</v>
      </c>
      <c r="L25" s="1" t="s">
        <v>723</v>
      </c>
      <c r="M25" s="7">
        <v>22</v>
      </c>
      <c r="N25" s="5" t="s">
        <v>89</v>
      </c>
      <c r="O25" s="3" t="s">
        <v>75</v>
      </c>
      <c r="P25" s="3" t="s">
        <v>14</v>
      </c>
      <c r="Q25" s="2">
        <v>0.1</v>
      </c>
      <c r="R25" s="43">
        <f>VLOOKUP('15'!O25,Malzemeler!C:D,2,0)</f>
        <v>150</v>
      </c>
      <c r="S25" s="43">
        <f t="shared" si="1"/>
        <v>15</v>
      </c>
    </row>
    <row r="26" spans="1:1021 1025:2045 2049:3069 3073:4093 4097:5117 5121:6141 6145:7165 7169:8189 8193:9213 9217:10237 10241:11261 11265:12285 12289:13309 13313:14333 14337:15357 15361:16381" x14ac:dyDescent="0.35">
      <c r="B26" s="1">
        <v>15</v>
      </c>
      <c r="C26" s="1" t="s">
        <v>698</v>
      </c>
      <c r="D26" s="1" t="s">
        <v>698</v>
      </c>
      <c r="E26" s="1" t="s">
        <v>698</v>
      </c>
      <c r="F26" s="1" t="s">
        <v>698</v>
      </c>
      <c r="G26" s="1" t="s">
        <v>698</v>
      </c>
      <c r="H26" s="1" t="s">
        <v>698</v>
      </c>
      <c r="I26" s="1" t="s">
        <v>698</v>
      </c>
      <c r="J26" s="1">
        <f t="shared" si="0"/>
        <v>1</v>
      </c>
      <c r="L26" s="1" t="s">
        <v>723</v>
      </c>
      <c r="M26" s="7">
        <v>23</v>
      </c>
      <c r="N26" s="5" t="s">
        <v>66</v>
      </c>
      <c r="O26" s="3" t="s">
        <v>78</v>
      </c>
      <c r="P26" s="3" t="s">
        <v>14</v>
      </c>
      <c r="Q26" s="3">
        <v>0.8</v>
      </c>
      <c r="R26" s="43">
        <f>VLOOKUP('15'!O26,Malzemeler!C:D,2,0)</f>
        <v>30</v>
      </c>
      <c r="S26" s="43">
        <f t="shared" si="1"/>
        <v>24</v>
      </c>
    </row>
    <row r="27" spans="1:1021 1025:2045 2049:3069 3073:4093 4097:5117 5121:6141 6145:7165 7169:8189 8193:9213 9217:10237 10241:11261 11265:12285 12289:13309 13313:14333 14337:15357 15361:16381" x14ac:dyDescent="0.35">
      <c r="B27" s="1">
        <v>15</v>
      </c>
      <c r="C27" s="1" t="s">
        <v>698</v>
      </c>
      <c r="D27" s="1" t="s">
        <v>698</v>
      </c>
      <c r="E27" s="1" t="s">
        <v>698</v>
      </c>
      <c r="F27" s="1" t="s">
        <v>698</v>
      </c>
      <c r="G27" s="1" t="s">
        <v>698</v>
      </c>
      <c r="H27" s="1" t="s">
        <v>698</v>
      </c>
      <c r="I27" s="1" t="s">
        <v>698</v>
      </c>
      <c r="J27" s="1">
        <f t="shared" si="0"/>
        <v>1</v>
      </c>
      <c r="L27" s="1" t="s">
        <v>723</v>
      </c>
      <c r="M27" s="7">
        <v>24</v>
      </c>
      <c r="N27" s="5" t="s">
        <v>65</v>
      </c>
      <c r="O27" s="3" t="s">
        <v>77</v>
      </c>
      <c r="P27" s="3" t="s">
        <v>14</v>
      </c>
      <c r="Q27" s="2">
        <v>1</v>
      </c>
      <c r="R27" s="43">
        <f>VLOOKUP('15'!O27,Malzemeler!C:D,2,0)</f>
        <v>150</v>
      </c>
      <c r="S27" s="43">
        <f t="shared" si="1"/>
        <v>150</v>
      </c>
    </row>
    <row r="28" spans="1:1021 1025:2045 2049:3069 3073:4093 4097:5117 5121:6141 6145:7165 7169:8189 8193:9213 9217:10237 10241:11261 11265:12285 12289:13309 13313:14333 14337:15357 15361:16381" x14ac:dyDescent="0.35">
      <c r="B28" s="1">
        <v>15</v>
      </c>
      <c r="C28" s="1" t="s">
        <v>698</v>
      </c>
      <c r="D28" s="1" t="s">
        <v>698</v>
      </c>
      <c r="E28" s="1" t="s">
        <v>698</v>
      </c>
      <c r="F28" s="1" t="s">
        <v>698</v>
      </c>
      <c r="G28" s="1" t="s">
        <v>698</v>
      </c>
      <c r="H28" s="1" t="s">
        <v>698</v>
      </c>
      <c r="I28" s="1" t="s">
        <v>698</v>
      </c>
      <c r="J28" s="1">
        <f t="shared" si="0"/>
        <v>1</v>
      </c>
      <c r="L28" s="1" t="s">
        <v>723</v>
      </c>
      <c r="M28" s="7">
        <v>25</v>
      </c>
      <c r="N28" s="5" t="s">
        <v>590</v>
      </c>
      <c r="O28" s="3" t="s">
        <v>591</v>
      </c>
      <c r="P28" s="3" t="s">
        <v>14</v>
      </c>
      <c r="Q28" s="3">
        <v>1</v>
      </c>
      <c r="R28" s="43">
        <f>VLOOKUP('15'!O28,Malzemeler!C:D,2,0)</f>
        <v>0</v>
      </c>
      <c r="S28" s="43">
        <f t="shared" si="1"/>
        <v>0</v>
      </c>
    </row>
    <row r="29" spans="1:1021 1025:2045 2049:3069 3073:4093 4097:5117 5121:6141 6145:7165 7169:8189 8193:9213 9217:10237 10241:11261 11265:12285 12289:13309 13313:14333 14337:15357 15361:16381" x14ac:dyDescent="0.35">
      <c r="B29" s="1">
        <v>15</v>
      </c>
      <c r="C29" s="1" t="s">
        <v>698</v>
      </c>
      <c r="D29" s="1" t="s">
        <v>698</v>
      </c>
      <c r="E29" s="1" t="s">
        <v>698</v>
      </c>
      <c r="F29" s="1" t="s">
        <v>698</v>
      </c>
      <c r="G29" s="1" t="s">
        <v>698</v>
      </c>
      <c r="H29" s="1" t="s">
        <v>698</v>
      </c>
      <c r="I29" s="1" t="s">
        <v>698</v>
      </c>
      <c r="J29" s="1">
        <f t="shared" si="0"/>
        <v>1</v>
      </c>
      <c r="L29" s="1" t="s">
        <v>723</v>
      </c>
      <c r="M29" s="7">
        <v>26</v>
      </c>
      <c r="N29" s="5" t="s">
        <v>590</v>
      </c>
      <c r="O29" s="3" t="s">
        <v>591</v>
      </c>
      <c r="P29" s="3" t="s">
        <v>14</v>
      </c>
      <c r="Q29" s="3">
        <v>1</v>
      </c>
      <c r="R29" s="43">
        <f>VLOOKUP('15'!O29,Malzemeler!C:D,2,0)</f>
        <v>0</v>
      </c>
      <c r="S29" s="43">
        <f t="shared" si="1"/>
        <v>0</v>
      </c>
    </row>
    <row r="30" spans="1:1021 1025:2045 2049:3069 3073:4093 4097:5117 5121:6141 6145:7165 7169:8189 8193:9213 9217:10237 10241:11261 11265:12285 12289:13309 13313:14333 14337:15357 15361:16381" x14ac:dyDescent="0.35">
      <c r="B30" s="1">
        <v>15</v>
      </c>
      <c r="C30" s="1" t="s">
        <v>698</v>
      </c>
      <c r="D30" s="1" t="s">
        <v>698</v>
      </c>
      <c r="E30" s="1" t="s">
        <v>698</v>
      </c>
      <c r="F30" s="1" t="s">
        <v>698</v>
      </c>
      <c r="G30" s="1" t="s">
        <v>698</v>
      </c>
      <c r="H30" s="1" t="s">
        <v>698</v>
      </c>
      <c r="I30" s="1" t="s">
        <v>698</v>
      </c>
      <c r="J30" s="1">
        <f t="shared" si="0"/>
        <v>1</v>
      </c>
      <c r="L30" s="1" t="s">
        <v>723</v>
      </c>
      <c r="M30" s="7">
        <v>27</v>
      </c>
      <c r="N30" s="5" t="s">
        <v>187</v>
      </c>
      <c r="O30" s="3" t="s">
        <v>188</v>
      </c>
      <c r="P30" s="3" t="s">
        <v>14</v>
      </c>
      <c r="Q30" s="3">
        <v>1</v>
      </c>
      <c r="R30" s="43">
        <f>VLOOKUP('15'!O30,Malzemeler!C:D,2,0)</f>
        <v>986.3</v>
      </c>
      <c r="S30" s="43">
        <f t="shared" si="1"/>
        <v>986.3</v>
      </c>
    </row>
    <row r="31" spans="1:1021 1025:2045 2049:3069 3073:4093 4097:5117 5121:6141 6145:7165 7169:8189 8193:9213 9217:10237 10241:11261 11265:12285 12289:13309 13313:14333 14337:15357 15361:16381" x14ac:dyDescent="0.35">
      <c r="B31" s="1">
        <v>15</v>
      </c>
      <c r="C31" s="1" t="s">
        <v>698</v>
      </c>
      <c r="D31" s="1" t="s">
        <v>698</v>
      </c>
      <c r="E31" s="1" t="s">
        <v>698</v>
      </c>
      <c r="F31" s="1" t="s">
        <v>698</v>
      </c>
      <c r="G31" s="1" t="s">
        <v>698</v>
      </c>
      <c r="H31" s="1" t="s">
        <v>698</v>
      </c>
      <c r="I31" s="1" t="s">
        <v>698</v>
      </c>
      <c r="J31" s="1">
        <f t="shared" si="0"/>
        <v>1</v>
      </c>
      <c r="L31" s="1" t="s">
        <v>723</v>
      </c>
      <c r="M31" s="7">
        <v>28</v>
      </c>
      <c r="N31" s="5" t="s">
        <v>189</v>
      </c>
      <c r="O31" s="3" t="s">
        <v>551</v>
      </c>
      <c r="P31" s="3" t="s">
        <v>14</v>
      </c>
      <c r="Q31" s="3">
        <v>1</v>
      </c>
      <c r="R31" s="43">
        <f>VLOOKUP('15'!O31,Malzemeler!C:D,2,0)</f>
        <v>310</v>
      </c>
      <c r="S31" s="43">
        <f t="shared" si="1"/>
        <v>310</v>
      </c>
    </row>
    <row r="32" spans="1:1021 1025:2045 2049:3069 3073:4093 4097:5117 5121:6141 6145:7165 7169:8189 8193:9213 9217:10237 10241:11261 11265:12285 12289:13309 13313:14333 14337:15357 15361:16381" x14ac:dyDescent="0.35">
      <c r="B32" s="1">
        <v>15</v>
      </c>
      <c r="C32" s="1" t="s">
        <v>698</v>
      </c>
      <c r="D32" s="1" t="s">
        <v>698</v>
      </c>
      <c r="E32" s="1" t="s">
        <v>698</v>
      </c>
      <c r="F32" s="1" t="s">
        <v>698</v>
      </c>
      <c r="G32" s="1" t="s">
        <v>698</v>
      </c>
      <c r="H32" s="1" t="s">
        <v>698</v>
      </c>
      <c r="I32" s="1" t="s">
        <v>698</v>
      </c>
      <c r="J32" s="1">
        <f t="shared" si="0"/>
        <v>1</v>
      </c>
      <c r="L32" s="1" t="s">
        <v>723</v>
      </c>
      <c r="M32" s="7">
        <v>29</v>
      </c>
      <c r="N32" s="5" t="s">
        <v>190</v>
      </c>
      <c r="O32" s="3" t="s">
        <v>522</v>
      </c>
      <c r="P32" s="3" t="s">
        <v>14</v>
      </c>
      <c r="Q32" s="3">
        <v>1</v>
      </c>
      <c r="R32" s="43">
        <f>VLOOKUP('15'!O32,Malzemeler!C:D,2,0)</f>
        <v>775</v>
      </c>
      <c r="S32" s="43">
        <f t="shared" si="1"/>
        <v>775</v>
      </c>
    </row>
    <row r="33" spans="2:19" x14ac:dyDescent="0.35">
      <c r="B33" s="1">
        <v>15</v>
      </c>
      <c r="C33" s="1" t="s">
        <v>698</v>
      </c>
      <c r="D33" s="1" t="s">
        <v>698</v>
      </c>
      <c r="E33" s="1" t="s">
        <v>698</v>
      </c>
      <c r="F33" s="1" t="s">
        <v>698</v>
      </c>
      <c r="G33" s="1" t="s">
        <v>698</v>
      </c>
      <c r="H33" s="1" t="s">
        <v>698</v>
      </c>
      <c r="I33" s="1" t="s">
        <v>698</v>
      </c>
      <c r="J33" s="1">
        <f t="shared" si="0"/>
        <v>1</v>
      </c>
      <c r="L33" s="1" t="s">
        <v>723</v>
      </c>
      <c r="M33" s="7">
        <v>30</v>
      </c>
      <c r="N33" s="5" t="s">
        <v>191</v>
      </c>
      <c r="O33" s="3" t="s">
        <v>531</v>
      </c>
      <c r="P33" s="3" t="s">
        <v>14</v>
      </c>
      <c r="Q33" s="3">
        <v>1</v>
      </c>
      <c r="R33" s="43">
        <f>VLOOKUP('15'!O33,Malzemeler!C:D,2,0)</f>
        <v>610</v>
      </c>
      <c r="S33" s="43">
        <f t="shared" si="1"/>
        <v>610</v>
      </c>
    </row>
    <row r="34" spans="2:19" x14ac:dyDescent="0.35">
      <c r="B34" s="1">
        <v>15</v>
      </c>
      <c r="C34" s="1" t="s">
        <v>698</v>
      </c>
      <c r="D34" s="1" t="s">
        <v>698</v>
      </c>
      <c r="E34" s="1" t="s">
        <v>698</v>
      </c>
      <c r="F34" s="1" t="s">
        <v>698</v>
      </c>
      <c r="G34" s="1" t="s">
        <v>698</v>
      </c>
      <c r="H34" s="1" t="s">
        <v>698</v>
      </c>
      <c r="I34" s="1" t="s">
        <v>698</v>
      </c>
      <c r="J34" s="1">
        <f t="shared" si="0"/>
        <v>1</v>
      </c>
      <c r="L34" s="1" t="s">
        <v>723</v>
      </c>
      <c r="M34" s="7">
        <v>31</v>
      </c>
      <c r="N34" s="6" t="s">
        <v>139</v>
      </c>
      <c r="O34" s="3" t="s">
        <v>140</v>
      </c>
      <c r="P34" s="3" t="s">
        <v>14</v>
      </c>
      <c r="Q34" s="3">
        <v>3</v>
      </c>
      <c r="R34" s="43">
        <f>VLOOKUP('15'!O34,Malzemeler!C:D,2,0)</f>
        <v>28.23</v>
      </c>
      <c r="S34" s="43">
        <f t="shared" si="1"/>
        <v>84.69</v>
      </c>
    </row>
    <row r="35" spans="2:19" x14ac:dyDescent="0.35">
      <c r="B35" s="1">
        <v>15</v>
      </c>
      <c r="C35" s="1" t="s">
        <v>698</v>
      </c>
      <c r="D35" s="1" t="s">
        <v>698</v>
      </c>
      <c r="E35" s="1" t="s">
        <v>698</v>
      </c>
      <c r="F35" s="1" t="s">
        <v>698</v>
      </c>
      <c r="G35" s="1" t="s">
        <v>698</v>
      </c>
      <c r="H35" s="1" t="s">
        <v>698</v>
      </c>
      <c r="I35" s="1" t="s">
        <v>698</v>
      </c>
      <c r="J35" s="1">
        <f t="shared" si="0"/>
        <v>1</v>
      </c>
      <c r="L35" s="1" t="s">
        <v>723</v>
      </c>
      <c r="M35" s="7">
        <v>32</v>
      </c>
      <c r="N35" s="6" t="s">
        <v>143</v>
      </c>
      <c r="O35" s="3" t="s">
        <v>144</v>
      </c>
      <c r="P35" s="3" t="s">
        <v>14</v>
      </c>
      <c r="Q35" s="3">
        <v>3</v>
      </c>
      <c r="R35" s="43">
        <f>VLOOKUP('15'!O35,Malzemeler!C:D,2,0)</f>
        <v>27.29</v>
      </c>
      <c r="S35" s="43">
        <f t="shared" si="1"/>
        <v>81.87</v>
      </c>
    </row>
    <row r="36" spans="2:19" x14ac:dyDescent="0.35">
      <c r="B36" s="1">
        <v>15</v>
      </c>
      <c r="C36" s="1" t="s">
        <v>698</v>
      </c>
      <c r="D36" s="1" t="s">
        <v>698</v>
      </c>
      <c r="E36" s="1" t="s">
        <v>698</v>
      </c>
      <c r="F36" s="1" t="s">
        <v>698</v>
      </c>
      <c r="G36" s="1" t="s">
        <v>698</v>
      </c>
      <c r="H36" s="1" t="s">
        <v>698</v>
      </c>
      <c r="I36" s="1" t="s">
        <v>698</v>
      </c>
      <c r="J36" s="1">
        <f t="shared" si="0"/>
        <v>1</v>
      </c>
      <c r="L36" s="1" t="s">
        <v>723</v>
      </c>
      <c r="M36" s="7">
        <v>33</v>
      </c>
      <c r="N36" s="6" t="s">
        <v>90</v>
      </c>
      <c r="O36" s="3" t="s">
        <v>91</v>
      </c>
      <c r="P36" s="3" t="s">
        <v>132</v>
      </c>
      <c r="Q36" s="10">
        <v>14.967000000000001</v>
      </c>
      <c r="R36" s="43">
        <f>VLOOKUP('15'!O36,Malzemeler!C:D,2,0)</f>
        <v>1.27</v>
      </c>
      <c r="S36" s="43">
        <f t="shared" si="1"/>
        <v>19.008089999999999</v>
      </c>
    </row>
    <row r="37" spans="2:19" x14ac:dyDescent="0.35">
      <c r="B37" s="1">
        <v>15</v>
      </c>
      <c r="C37" s="1" t="s">
        <v>698</v>
      </c>
      <c r="D37" s="1" t="s">
        <v>698</v>
      </c>
      <c r="E37" s="1" t="s">
        <v>698</v>
      </c>
      <c r="F37" s="1" t="s">
        <v>698</v>
      </c>
      <c r="G37" s="1" t="s">
        <v>698</v>
      </c>
      <c r="H37" s="1" t="s">
        <v>698</v>
      </c>
      <c r="I37" s="1" t="s">
        <v>698</v>
      </c>
      <c r="J37" s="1">
        <f t="shared" si="0"/>
        <v>1</v>
      </c>
      <c r="L37" s="1" t="s">
        <v>723</v>
      </c>
      <c r="M37" s="7">
        <v>34</v>
      </c>
      <c r="N37" s="6" t="s">
        <v>92</v>
      </c>
      <c r="O37" s="3" t="s">
        <v>93</v>
      </c>
      <c r="P37" s="3" t="s">
        <v>132</v>
      </c>
      <c r="Q37" s="10">
        <v>5.52</v>
      </c>
      <c r="R37" s="43">
        <f>VLOOKUP('15'!O37,Malzemeler!C:D,2,0)</f>
        <v>1.74</v>
      </c>
      <c r="S37" s="43">
        <f t="shared" si="1"/>
        <v>9.6047999999999991</v>
      </c>
    </row>
    <row r="38" spans="2:19" x14ac:dyDescent="0.35">
      <c r="B38" s="1">
        <v>15</v>
      </c>
      <c r="C38" s="1" t="s">
        <v>698</v>
      </c>
      <c r="D38" s="1" t="s">
        <v>698</v>
      </c>
      <c r="E38" s="1" t="s">
        <v>698</v>
      </c>
      <c r="F38" s="1" t="s">
        <v>698</v>
      </c>
      <c r="G38" s="1" t="s">
        <v>698</v>
      </c>
      <c r="H38" s="1" t="s">
        <v>698</v>
      </c>
      <c r="I38" s="1" t="s">
        <v>698</v>
      </c>
      <c r="J38" s="1">
        <f t="shared" si="0"/>
        <v>1</v>
      </c>
      <c r="L38" s="1" t="s">
        <v>723</v>
      </c>
      <c r="M38" s="7">
        <v>35</v>
      </c>
      <c r="N38" s="6" t="s">
        <v>94</v>
      </c>
      <c r="O38" s="3" t="s">
        <v>95</v>
      </c>
      <c r="P38" s="3" t="s">
        <v>132</v>
      </c>
      <c r="Q38" s="10">
        <v>33.709000000000003</v>
      </c>
      <c r="R38" s="43">
        <f>VLOOKUP('15'!O38,Malzemeler!C:D,2,0)</f>
        <v>1.95</v>
      </c>
      <c r="S38" s="43">
        <f t="shared" si="1"/>
        <v>65.732550000000003</v>
      </c>
    </row>
    <row r="39" spans="2:19" x14ac:dyDescent="0.35">
      <c r="B39" s="1">
        <v>15</v>
      </c>
      <c r="C39" s="1" t="s">
        <v>698</v>
      </c>
      <c r="D39" s="1" t="s">
        <v>698</v>
      </c>
      <c r="E39" s="1" t="s">
        <v>698</v>
      </c>
      <c r="F39" s="1" t="s">
        <v>698</v>
      </c>
      <c r="G39" s="1" t="s">
        <v>698</v>
      </c>
      <c r="H39" s="1" t="s">
        <v>698</v>
      </c>
      <c r="I39" s="1" t="s">
        <v>698</v>
      </c>
      <c r="J39" s="1">
        <f t="shared" si="0"/>
        <v>1</v>
      </c>
      <c r="L39" s="1" t="s">
        <v>723</v>
      </c>
      <c r="M39" s="7">
        <v>36</v>
      </c>
      <c r="N39" s="6" t="s">
        <v>611</v>
      </c>
      <c r="O39" s="3" t="s">
        <v>229</v>
      </c>
      <c r="P39" s="3" t="s">
        <v>133</v>
      </c>
      <c r="Q39" s="10">
        <v>74.5</v>
      </c>
      <c r="R39" s="43">
        <f>VLOOKUP('15'!O39,Malzemeler!C:D,2,0)</f>
        <v>0.79</v>
      </c>
      <c r="S39" s="43">
        <f t="shared" si="1"/>
        <v>58.855000000000004</v>
      </c>
    </row>
    <row r="40" spans="2:19" x14ac:dyDescent="0.35">
      <c r="B40" s="1">
        <v>15</v>
      </c>
      <c r="C40" s="1" t="s">
        <v>698</v>
      </c>
      <c r="D40" s="1" t="s">
        <v>698</v>
      </c>
      <c r="E40" s="1" t="s">
        <v>698</v>
      </c>
      <c r="F40" s="1" t="s">
        <v>698</v>
      </c>
      <c r="G40" s="1" t="s">
        <v>698</v>
      </c>
      <c r="H40" s="1" t="s">
        <v>698</v>
      </c>
      <c r="I40" s="1" t="s">
        <v>698</v>
      </c>
      <c r="J40" s="1">
        <f t="shared" si="0"/>
        <v>1</v>
      </c>
      <c r="L40" s="1" t="s">
        <v>723</v>
      </c>
      <c r="M40" s="7">
        <v>37</v>
      </c>
      <c r="N40" s="6" t="s">
        <v>612</v>
      </c>
      <c r="O40" s="3" t="s">
        <v>97</v>
      </c>
      <c r="P40" s="3" t="s">
        <v>133</v>
      </c>
      <c r="Q40" s="10">
        <v>85</v>
      </c>
      <c r="R40" s="43">
        <f>VLOOKUP('15'!O40,Malzemeler!C:D,2,0)</f>
        <v>0.8</v>
      </c>
      <c r="S40" s="43">
        <f t="shared" si="1"/>
        <v>68</v>
      </c>
    </row>
    <row r="41" spans="2:19" x14ac:dyDescent="0.35">
      <c r="B41" s="1">
        <v>15</v>
      </c>
      <c r="C41" s="1" t="s">
        <v>698</v>
      </c>
      <c r="D41" s="1" t="s">
        <v>698</v>
      </c>
      <c r="E41" s="1" t="s">
        <v>698</v>
      </c>
      <c r="F41" s="1" t="s">
        <v>698</v>
      </c>
      <c r="G41" s="1" t="s">
        <v>698</v>
      </c>
      <c r="H41" s="1" t="s">
        <v>698</v>
      </c>
      <c r="I41" s="1" t="s">
        <v>698</v>
      </c>
      <c r="J41" s="1">
        <f t="shared" si="0"/>
        <v>1</v>
      </c>
      <c r="L41" s="1" t="s">
        <v>723</v>
      </c>
      <c r="M41" s="7">
        <v>38</v>
      </c>
      <c r="N41" s="6" t="s">
        <v>613</v>
      </c>
      <c r="O41" s="3" t="s">
        <v>231</v>
      </c>
      <c r="P41" s="3" t="s">
        <v>133</v>
      </c>
      <c r="Q41" s="10">
        <v>21</v>
      </c>
      <c r="R41" s="43">
        <f>VLOOKUP('15'!O41,Malzemeler!C:D,2,0)</f>
        <v>0.85</v>
      </c>
      <c r="S41" s="43">
        <f t="shared" si="1"/>
        <v>17.849999999999998</v>
      </c>
    </row>
    <row r="42" spans="2:19" x14ac:dyDescent="0.35">
      <c r="B42" s="1">
        <v>15</v>
      </c>
      <c r="C42" s="1" t="s">
        <v>698</v>
      </c>
      <c r="D42" s="1" t="s">
        <v>698</v>
      </c>
      <c r="E42" s="1" t="s">
        <v>698</v>
      </c>
      <c r="F42" s="1" t="s">
        <v>698</v>
      </c>
      <c r="G42" s="1" t="s">
        <v>698</v>
      </c>
      <c r="H42" s="1" t="s">
        <v>698</v>
      </c>
      <c r="I42" s="1" t="s">
        <v>698</v>
      </c>
      <c r="J42" s="1">
        <f t="shared" si="0"/>
        <v>1</v>
      </c>
      <c r="L42" s="1" t="s">
        <v>723</v>
      </c>
      <c r="M42" s="7">
        <v>39</v>
      </c>
      <c r="N42" s="6" t="s">
        <v>609</v>
      </c>
      <c r="O42" s="3" t="s">
        <v>99</v>
      </c>
      <c r="P42" s="3" t="s">
        <v>133</v>
      </c>
      <c r="Q42" s="10">
        <v>13.5</v>
      </c>
      <c r="R42" s="43">
        <f>VLOOKUP('15'!O42,Malzemeler!C:D,2,0)</f>
        <v>0.87</v>
      </c>
      <c r="S42" s="43">
        <f t="shared" si="1"/>
        <v>11.744999999999999</v>
      </c>
    </row>
    <row r="43" spans="2:19" x14ac:dyDescent="0.35">
      <c r="B43" s="1">
        <v>15</v>
      </c>
      <c r="C43" s="1" t="s">
        <v>698</v>
      </c>
      <c r="D43" s="1" t="s">
        <v>698</v>
      </c>
      <c r="E43" s="1" t="s">
        <v>698</v>
      </c>
      <c r="F43" s="1" t="s">
        <v>698</v>
      </c>
      <c r="G43" s="1" t="s">
        <v>698</v>
      </c>
      <c r="H43" s="1" t="s">
        <v>698</v>
      </c>
      <c r="I43" s="1" t="s">
        <v>698</v>
      </c>
      <c r="J43" s="1">
        <f t="shared" si="0"/>
        <v>1</v>
      </c>
      <c r="L43" s="1" t="s">
        <v>723</v>
      </c>
      <c r="M43" s="7">
        <v>40</v>
      </c>
      <c r="N43" s="6" t="s">
        <v>610</v>
      </c>
      <c r="O43" s="3" t="s">
        <v>235</v>
      </c>
      <c r="P43" s="3" t="s">
        <v>133</v>
      </c>
      <c r="Q43" s="10">
        <v>24.5</v>
      </c>
      <c r="R43" s="43">
        <f>VLOOKUP('15'!O43,Malzemeler!C:D,2,0)</f>
        <v>2.3199999999999998</v>
      </c>
      <c r="S43" s="43">
        <f t="shared" si="1"/>
        <v>56.839999999999996</v>
      </c>
    </row>
    <row r="44" spans="2:19" x14ac:dyDescent="0.35">
      <c r="B44" s="1">
        <v>15</v>
      </c>
      <c r="C44" s="1" t="s">
        <v>698</v>
      </c>
      <c r="D44" s="1" t="s">
        <v>698</v>
      </c>
      <c r="E44" s="1" t="s">
        <v>698</v>
      </c>
      <c r="F44" s="1" t="s">
        <v>698</v>
      </c>
      <c r="G44" s="1" t="s">
        <v>698</v>
      </c>
      <c r="H44" s="1" t="s">
        <v>698</v>
      </c>
      <c r="I44" s="1" t="s">
        <v>698</v>
      </c>
      <c r="J44" s="1">
        <f t="shared" si="0"/>
        <v>1</v>
      </c>
      <c r="L44" s="1" t="s">
        <v>723</v>
      </c>
      <c r="M44" s="7">
        <v>41</v>
      </c>
      <c r="N44" s="6" t="s">
        <v>607</v>
      </c>
      <c r="O44" s="3" t="s">
        <v>608</v>
      </c>
      <c r="P44" s="3" t="s">
        <v>133</v>
      </c>
      <c r="Q44" s="10">
        <v>225</v>
      </c>
      <c r="R44" s="43">
        <f>VLOOKUP('15'!O44,Malzemeler!C:D,2,0)</f>
        <v>0</v>
      </c>
      <c r="S44" s="43">
        <f t="shared" si="1"/>
        <v>0</v>
      </c>
    </row>
    <row r="45" spans="2:19" x14ac:dyDescent="0.35">
      <c r="B45" s="1">
        <v>15</v>
      </c>
      <c r="C45" s="1" t="s">
        <v>698</v>
      </c>
      <c r="D45" s="1" t="s">
        <v>698</v>
      </c>
      <c r="E45" s="1" t="s">
        <v>698</v>
      </c>
      <c r="F45" s="1" t="s">
        <v>698</v>
      </c>
      <c r="G45" s="1" t="s">
        <v>698</v>
      </c>
      <c r="H45" s="1" t="s">
        <v>698</v>
      </c>
      <c r="I45" s="1" t="s">
        <v>698</v>
      </c>
      <c r="J45" s="1">
        <f t="shared" si="0"/>
        <v>1</v>
      </c>
      <c r="L45" s="1" t="s">
        <v>723</v>
      </c>
      <c r="M45" s="7">
        <v>42</v>
      </c>
      <c r="N45" s="6" t="s">
        <v>106</v>
      </c>
      <c r="O45" s="3" t="s">
        <v>107</v>
      </c>
      <c r="P45" s="3" t="s">
        <v>14</v>
      </c>
      <c r="Q45" s="11">
        <v>4</v>
      </c>
      <c r="R45" s="43">
        <f>VLOOKUP('15'!O45,Malzemeler!C:D,2,0)</f>
        <v>0</v>
      </c>
      <c r="S45" s="43">
        <f t="shared" si="1"/>
        <v>0</v>
      </c>
    </row>
    <row r="46" spans="2:19" x14ac:dyDescent="0.35">
      <c r="B46" s="1">
        <v>15</v>
      </c>
      <c r="C46" s="1" t="s">
        <v>698</v>
      </c>
      <c r="D46" s="1" t="s">
        <v>698</v>
      </c>
      <c r="E46" s="1" t="s">
        <v>698</v>
      </c>
      <c r="F46" s="1" t="s">
        <v>698</v>
      </c>
      <c r="G46" s="1" t="s">
        <v>698</v>
      </c>
      <c r="H46" s="1" t="s">
        <v>698</v>
      </c>
      <c r="I46" s="1" t="s">
        <v>698</v>
      </c>
      <c r="J46" s="1">
        <f t="shared" si="0"/>
        <v>1</v>
      </c>
      <c r="L46" s="1" t="s">
        <v>723</v>
      </c>
      <c r="M46" s="7">
        <v>43</v>
      </c>
      <c r="N46" s="6" t="s">
        <v>108</v>
      </c>
      <c r="O46" s="3" t="s">
        <v>109</v>
      </c>
      <c r="P46" s="3" t="s">
        <v>14</v>
      </c>
      <c r="Q46" s="11">
        <v>4</v>
      </c>
      <c r="R46" s="43">
        <f>VLOOKUP('15'!O46,Malzemeler!C:D,2,0)</f>
        <v>0</v>
      </c>
      <c r="S46" s="43">
        <f t="shared" si="1"/>
        <v>0</v>
      </c>
    </row>
    <row r="47" spans="2:19" x14ac:dyDescent="0.35">
      <c r="B47" s="1">
        <v>15</v>
      </c>
      <c r="C47" s="1" t="s">
        <v>698</v>
      </c>
      <c r="D47" s="1" t="s">
        <v>698</v>
      </c>
      <c r="E47" s="1" t="s">
        <v>698</v>
      </c>
      <c r="F47" s="1" t="s">
        <v>698</v>
      </c>
      <c r="G47" s="1" t="s">
        <v>698</v>
      </c>
      <c r="H47" s="1" t="s">
        <v>698</v>
      </c>
      <c r="I47" s="1" t="s">
        <v>698</v>
      </c>
      <c r="J47" s="1">
        <f t="shared" si="0"/>
        <v>1</v>
      </c>
      <c r="L47" s="1" t="s">
        <v>723</v>
      </c>
      <c r="M47" s="7">
        <v>44</v>
      </c>
      <c r="N47" s="6" t="s">
        <v>110</v>
      </c>
      <c r="O47" s="3" t="s">
        <v>111</v>
      </c>
      <c r="P47" s="3" t="s">
        <v>132</v>
      </c>
      <c r="Q47" s="10">
        <v>81.372</v>
      </c>
      <c r="R47" s="43">
        <f>VLOOKUP('15'!O47,Malzemeler!C:D,2,0)</f>
        <v>1.1200000000000001</v>
      </c>
      <c r="S47" s="43">
        <f t="shared" si="1"/>
        <v>91.136640000000014</v>
      </c>
    </row>
    <row r="48" spans="2:19" x14ac:dyDescent="0.35">
      <c r="B48" s="1">
        <v>15</v>
      </c>
      <c r="C48" s="1" t="s">
        <v>698</v>
      </c>
      <c r="D48" s="1" t="s">
        <v>698</v>
      </c>
      <c r="E48" s="1" t="s">
        <v>698</v>
      </c>
      <c r="F48" s="1" t="s">
        <v>698</v>
      </c>
      <c r="G48" s="1" t="s">
        <v>698</v>
      </c>
      <c r="H48" s="1" t="s">
        <v>698</v>
      </c>
      <c r="I48" s="1" t="s">
        <v>698</v>
      </c>
      <c r="J48" s="1">
        <f t="shared" si="0"/>
        <v>1</v>
      </c>
      <c r="L48" s="1" t="s">
        <v>723</v>
      </c>
      <c r="M48" s="7">
        <v>45</v>
      </c>
      <c r="N48" s="6" t="s">
        <v>112</v>
      </c>
      <c r="O48" s="3" t="s">
        <v>113</v>
      </c>
      <c r="P48" s="3" t="s">
        <v>134</v>
      </c>
      <c r="Q48" s="10">
        <v>84</v>
      </c>
      <c r="R48" s="43">
        <f>VLOOKUP('15'!O48,Malzemeler!C:D,2,0)</f>
        <v>1.1200000000000001</v>
      </c>
      <c r="S48" s="43">
        <f t="shared" si="1"/>
        <v>94.080000000000013</v>
      </c>
    </row>
    <row r="49" spans="2:19" x14ac:dyDescent="0.35">
      <c r="B49" s="1">
        <v>15</v>
      </c>
      <c r="C49" s="1" t="s">
        <v>698</v>
      </c>
      <c r="D49" s="1" t="s">
        <v>698</v>
      </c>
      <c r="E49" s="1" t="s">
        <v>698</v>
      </c>
      <c r="F49" s="1" t="s">
        <v>698</v>
      </c>
      <c r="G49" s="1" t="s">
        <v>698</v>
      </c>
      <c r="H49" s="1" t="s">
        <v>698</v>
      </c>
      <c r="I49" s="1" t="s">
        <v>698</v>
      </c>
      <c r="J49" s="1">
        <f t="shared" si="0"/>
        <v>1</v>
      </c>
      <c r="L49" s="1" t="s">
        <v>723</v>
      </c>
      <c r="M49" s="7">
        <v>46</v>
      </c>
      <c r="N49" s="6" t="s">
        <v>114</v>
      </c>
      <c r="O49" s="3" t="s">
        <v>115</v>
      </c>
      <c r="P49" s="3" t="s">
        <v>132</v>
      </c>
      <c r="Q49" s="10">
        <v>12.692</v>
      </c>
      <c r="R49" s="43">
        <f>VLOOKUP('15'!O49,Malzemeler!C:D,2,0)</f>
        <v>2.21</v>
      </c>
      <c r="S49" s="43">
        <f t="shared" si="1"/>
        <v>28.049320000000002</v>
      </c>
    </row>
    <row r="50" spans="2:19" x14ac:dyDescent="0.35">
      <c r="B50" s="1">
        <v>15</v>
      </c>
      <c r="C50" s="1" t="s">
        <v>698</v>
      </c>
      <c r="D50" s="1" t="s">
        <v>698</v>
      </c>
      <c r="E50" s="1" t="s">
        <v>698</v>
      </c>
      <c r="F50" s="1" t="s">
        <v>698</v>
      </c>
      <c r="G50" s="1" t="s">
        <v>698</v>
      </c>
      <c r="H50" s="1" t="s">
        <v>698</v>
      </c>
      <c r="I50" s="1" t="s">
        <v>698</v>
      </c>
      <c r="J50" s="1">
        <f t="shared" si="0"/>
        <v>1</v>
      </c>
      <c r="L50" s="1" t="s">
        <v>723</v>
      </c>
      <c r="M50" s="7">
        <v>47</v>
      </c>
      <c r="N50" s="6" t="s">
        <v>116</v>
      </c>
      <c r="O50" s="3" t="s">
        <v>117</v>
      </c>
      <c r="P50" s="3" t="s">
        <v>14</v>
      </c>
      <c r="Q50" s="10">
        <v>16</v>
      </c>
      <c r="R50" s="43">
        <f>VLOOKUP('15'!O50,Malzemeler!C:D,2,0)</f>
        <v>2.17</v>
      </c>
      <c r="S50" s="43">
        <f t="shared" si="1"/>
        <v>34.72</v>
      </c>
    </row>
    <row r="51" spans="2:19" x14ac:dyDescent="0.35">
      <c r="B51" s="1">
        <v>15</v>
      </c>
      <c r="C51" s="1" t="s">
        <v>698</v>
      </c>
      <c r="D51" s="1" t="s">
        <v>698</v>
      </c>
      <c r="E51" s="1" t="s">
        <v>698</v>
      </c>
      <c r="F51" s="1" t="s">
        <v>698</v>
      </c>
      <c r="G51" s="1" t="s">
        <v>698</v>
      </c>
      <c r="H51" s="1" t="s">
        <v>698</v>
      </c>
      <c r="I51" s="1" t="s">
        <v>698</v>
      </c>
      <c r="J51" s="1">
        <f t="shared" si="0"/>
        <v>1</v>
      </c>
      <c r="L51" s="1" t="s">
        <v>723</v>
      </c>
      <c r="M51" s="7">
        <v>48</v>
      </c>
      <c r="N51" s="6" t="s">
        <v>118</v>
      </c>
      <c r="O51" s="3" t="s">
        <v>119</v>
      </c>
      <c r="P51" s="3" t="s">
        <v>14</v>
      </c>
      <c r="Q51" s="11">
        <v>8</v>
      </c>
      <c r="R51" s="43">
        <f>VLOOKUP('15'!O51,Malzemeler!C:D,2,0)</f>
        <v>0.03</v>
      </c>
      <c r="S51" s="43">
        <f t="shared" si="1"/>
        <v>0.24</v>
      </c>
    </row>
    <row r="52" spans="2:19" x14ac:dyDescent="0.35">
      <c r="B52" s="1">
        <v>15</v>
      </c>
      <c r="C52" s="1" t="s">
        <v>698</v>
      </c>
      <c r="D52" s="1" t="s">
        <v>698</v>
      </c>
      <c r="E52" s="1" t="s">
        <v>698</v>
      </c>
      <c r="F52" s="1" t="s">
        <v>698</v>
      </c>
      <c r="G52" s="1" t="s">
        <v>698</v>
      </c>
      <c r="H52" s="1" t="s">
        <v>698</v>
      </c>
      <c r="I52" s="1" t="s">
        <v>698</v>
      </c>
      <c r="J52" s="1">
        <f t="shared" si="0"/>
        <v>1</v>
      </c>
      <c r="L52" s="1" t="s">
        <v>723</v>
      </c>
      <c r="M52" s="7">
        <v>49</v>
      </c>
      <c r="N52" s="1" t="s">
        <v>120</v>
      </c>
      <c r="O52" s="3" t="s">
        <v>121</v>
      </c>
      <c r="P52" s="3" t="s">
        <v>14</v>
      </c>
      <c r="Q52" s="3">
        <v>8</v>
      </c>
      <c r="R52" s="43">
        <f>VLOOKUP('15'!O52,Malzemeler!C:D,2,0)</f>
        <v>0.5</v>
      </c>
      <c r="S52" s="43">
        <f t="shared" si="1"/>
        <v>4</v>
      </c>
    </row>
    <row r="53" spans="2:19" x14ac:dyDescent="0.35">
      <c r="B53" s="1">
        <v>15</v>
      </c>
      <c r="C53" s="1" t="s">
        <v>698</v>
      </c>
      <c r="D53" s="1" t="s">
        <v>698</v>
      </c>
      <c r="E53" s="1" t="s">
        <v>698</v>
      </c>
      <c r="F53" s="1" t="s">
        <v>698</v>
      </c>
      <c r="G53" s="1" t="s">
        <v>698</v>
      </c>
      <c r="H53" s="1" t="s">
        <v>698</v>
      </c>
      <c r="I53" s="1" t="s">
        <v>698</v>
      </c>
      <c r="J53" s="1">
        <f t="shared" si="0"/>
        <v>1</v>
      </c>
      <c r="L53" s="1" t="s">
        <v>723</v>
      </c>
      <c r="M53" s="7">
        <v>50</v>
      </c>
      <c r="N53" s="1" t="s">
        <v>122</v>
      </c>
      <c r="O53" s="3" t="s">
        <v>123</v>
      </c>
      <c r="P53" s="3" t="s">
        <v>14</v>
      </c>
      <c r="Q53" s="3">
        <v>1</v>
      </c>
      <c r="R53" s="43">
        <f>VLOOKUP('15'!O53,Malzemeler!C:D,2,0)</f>
        <v>0.13</v>
      </c>
      <c r="S53" s="43">
        <f t="shared" si="1"/>
        <v>0.13</v>
      </c>
    </row>
    <row r="54" spans="2:19" x14ac:dyDescent="0.35">
      <c r="B54" s="1">
        <v>15</v>
      </c>
      <c r="C54" s="1" t="s">
        <v>698</v>
      </c>
      <c r="D54" s="1" t="s">
        <v>698</v>
      </c>
      <c r="E54" s="1" t="s">
        <v>698</v>
      </c>
      <c r="F54" s="1" t="s">
        <v>698</v>
      </c>
      <c r="G54" s="1" t="s">
        <v>698</v>
      </c>
      <c r="H54" s="1" t="s">
        <v>698</v>
      </c>
      <c r="I54" s="1" t="s">
        <v>698</v>
      </c>
      <c r="J54" s="1">
        <f t="shared" si="0"/>
        <v>1</v>
      </c>
      <c r="L54" s="1" t="s">
        <v>723</v>
      </c>
      <c r="M54" s="7">
        <v>51</v>
      </c>
      <c r="N54" s="1" t="s">
        <v>604</v>
      </c>
      <c r="O54" s="3" t="s">
        <v>606</v>
      </c>
      <c r="P54" s="3" t="s">
        <v>14</v>
      </c>
      <c r="Q54" s="3">
        <v>2</v>
      </c>
      <c r="R54" s="43">
        <f>VLOOKUP('15'!O54,Malzemeler!C:D,2,0)</f>
        <v>0</v>
      </c>
      <c r="S54" s="43">
        <f t="shared" si="1"/>
        <v>0</v>
      </c>
    </row>
    <row r="55" spans="2:19" x14ac:dyDescent="0.35">
      <c r="B55" s="1">
        <v>15</v>
      </c>
      <c r="C55" s="1" t="s">
        <v>698</v>
      </c>
      <c r="D55" s="1" t="s">
        <v>698</v>
      </c>
      <c r="E55" s="1" t="s">
        <v>698</v>
      </c>
      <c r="F55" s="1" t="s">
        <v>698</v>
      </c>
      <c r="G55" s="1" t="s">
        <v>698</v>
      </c>
      <c r="H55" s="1" t="s">
        <v>698</v>
      </c>
      <c r="I55" s="1" t="s">
        <v>698</v>
      </c>
      <c r="J55" s="1">
        <f t="shared" si="0"/>
        <v>1</v>
      </c>
      <c r="L55" s="1" t="s">
        <v>723</v>
      </c>
      <c r="M55" s="7">
        <v>52</v>
      </c>
      <c r="N55" s="1" t="s">
        <v>558</v>
      </c>
      <c r="O55" s="3" t="s">
        <v>742</v>
      </c>
      <c r="P55" s="3" t="s">
        <v>14</v>
      </c>
      <c r="Q55" s="2">
        <v>1</v>
      </c>
      <c r="R55" s="43">
        <f>VLOOKUP('15'!O55,Malzemeler!C:D,2,0)</f>
        <v>0.95</v>
      </c>
      <c r="S55" s="43">
        <f t="shared" si="1"/>
        <v>0.95</v>
      </c>
    </row>
    <row r="56" spans="2:19" x14ac:dyDescent="0.35">
      <c r="B56" s="1">
        <v>15</v>
      </c>
      <c r="C56" s="1" t="s">
        <v>698</v>
      </c>
      <c r="D56" s="1" t="s">
        <v>698</v>
      </c>
      <c r="E56" s="1" t="s">
        <v>698</v>
      </c>
      <c r="F56" s="1" t="s">
        <v>698</v>
      </c>
      <c r="G56" s="1" t="s">
        <v>698</v>
      </c>
      <c r="H56" s="1" t="s">
        <v>698</v>
      </c>
      <c r="I56" s="1" t="s">
        <v>698</v>
      </c>
      <c r="J56" s="1">
        <f t="shared" si="0"/>
        <v>1</v>
      </c>
      <c r="L56" s="1" t="s">
        <v>723</v>
      </c>
      <c r="M56" s="7">
        <v>53</v>
      </c>
      <c r="N56" s="1" t="s">
        <v>557</v>
      </c>
      <c r="O56" s="3" t="s">
        <v>555</v>
      </c>
      <c r="P56" s="3" t="s">
        <v>14</v>
      </c>
      <c r="Q56" s="2">
        <v>1</v>
      </c>
      <c r="R56" s="43">
        <f>VLOOKUP('15'!O56,Malzemeler!C:D,2,0)</f>
        <v>1.32</v>
      </c>
      <c r="S56" s="43">
        <f t="shared" si="1"/>
        <v>1.32</v>
      </c>
    </row>
    <row r="57" spans="2:19" x14ac:dyDescent="0.35">
      <c r="B57" s="1">
        <v>15</v>
      </c>
      <c r="C57" s="1" t="s">
        <v>698</v>
      </c>
      <c r="D57" s="1" t="s">
        <v>698</v>
      </c>
      <c r="E57" s="1" t="s">
        <v>698</v>
      </c>
      <c r="F57" s="1" t="s">
        <v>698</v>
      </c>
      <c r="G57" s="1" t="s">
        <v>698</v>
      </c>
      <c r="H57" s="1" t="s">
        <v>698</v>
      </c>
      <c r="I57" s="1" t="s">
        <v>698</v>
      </c>
      <c r="J57" s="1">
        <f t="shared" si="0"/>
        <v>1</v>
      </c>
      <c r="L57" s="1" t="s">
        <v>723</v>
      </c>
      <c r="M57" s="7">
        <v>54</v>
      </c>
      <c r="N57" s="1" t="s">
        <v>556</v>
      </c>
      <c r="O57" s="3" t="s">
        <v>743</v>
      </c>
      <c r="P57" s="3" t="s">
        <v>14</v>
      </c>
      <c r="Q57" s="2">
        <v>1</v>
      </c>
      <c r="R57" s="43">
        <f>VLOOKUP('15'!O57,Malzemeler!C:D,2,0)</f>
        <v>0.73</v>
      </c>
      <c r="S57" s="43">
        <f t="shared" si="1"/>
        <v>0.73</v>
      </c>
    </row>
    <row r="58" spans="2:19" x14ac:dyDescent="0.35">
      <c r="B58" s="1">
        <v>15</v>
      </c>
      <c r="C58" s="1" t="s">
        <v>698</v>
      </c>
      <c r="D58" s="1" t="s">
        <v>698</v>
      </c>
      <c r="E58" s="1" t="s">
        <v>698</v>
      </c>
      <c r="F58" s="1" t="s">
        <v>698</v>
      </c>
      <c r="G58" s="1" t="s">
        <v>698</v>
      </c>
      <c r="H58" s="1" t="s">
        <v>698</v>
      </c>
      <c r="I58" s="1" t="s">
        <v>698</v>
      </c>
      <c r="J58" s="1">
        <f t="shared" si="0"/>
        <v>1</v>
      </c>
      <c r="L58" s="1" t="s">
        <v>722</v>
      </c>
      <c r="M58" s="7">
        <v>55</v>
      </c>
      <c r="N58" s="5" t="s">
        <v>27</v>
      </c>
      <c r="O58" s="3" t="s">
        <v>28</v>
      </c>
      <c r="P58" s="3" t="s">
        <v>14</v>
      </c>
      <c r="Q58" s="3">
        <v>1</v>
      </c>
      <c r="R58" s="43">
        <f>VLOOKUP('15'!O58,Malzemeler!C:D,2,0)</f>
        <v>4.76</v>
      </c>
      <c r="S58" s="43">
        <f t="shared" si="1"/>
        <v>4.76</v>
      </c>
    </row>
    <row r="59" spans="2:19" x14ac:dyDescent="0.35">
      <c r="B59" s="1">
        <v>15</v>
      </c>
      <c r="C59" s="1" t="s">
        <v>698</v>
      </c>
      <c r="D59" s="1" t="s">
        <v>698</v>
      </c>
      <c r="E59" s="1" t="s">
        <v>698</v>
      </c>
      <c r="F59" s="1" t="s">
        <v>698</v>
      </c>
      <c r="G59" s="1" t="s">
        <v>698</v>
      </c>
      <c r="H59" s="1" t="s">
        <v>698</v>
      </c>
      <c r="I59" s="1" t="s">
        <v>698</v>
      </c>
      <c r="J59" s="1">
        <f t="shared" si="0"/>
        <v>1</v>
      </c>
      <c r="L59" s="1" t="s">
        <v>722</v>
      </c>
      <c r="M59" s="7">
        <v>56</v>
      </c>
      <c r="N59" s="5" t="s">
        <v>29</v>
      </c>
      <c r="O59" s="3" t="s">
        <v>30</v>
      </c>
      <c r="P59" s="3" t="s">
        <v>14</v>
      </c>
      <c r="Q59" s="2">
        <v>1</v>
      </c>
      <c r="R59" s="43">
        <f>VLOOKUP('15'!O59,Malzemeler!C:D,2,0)</f>
        <v>4.76</v>
      </c>
      <c r="S59" s="43">
        <f t="shared" si="1"/>
        <v>4.76</v>
      </c>
    </row>
    <row r="60" spans="2:19" x14ac:dyDescent="0.35">
      <c r="B60" s="1">
        <v>15</v>
      </c>
      <c r="C60" s="1" t="s">
        <v>698</v>
      </c>
      <c r="D60" s="1" t="s">
        <v>698</v>
      </c>
      <c r="E60" s="1" t="s">
        <v>698</v>
      </c>
      <c r="F60" s="1" t="s">
        <v>698</v>
      </c>
      <c r="G60" s="1" t="s">
        <v>698</v>
      </c>
      <c r="H60" s="1" t="s">
        <v>698</v>
      </c>
      <c r="I60" s="1" t="s">
        <v>698</v>
      </c>
      <c r="J60" s="1">
        <f t="shared" si="0"/>
        <v>1</v>
      </c>
      <c r="L60" s="1" t="s">
        <v>722</v>
      </c>
      <c r="M60" s="7">
        <v>57</v>
      </c>
      <c r="N60" s="5" t="s">
        <v>196</v>
      </c>
      <c r="O60" s="3" t="s">
        <v>540</v>
      </c>
      <c r="P60" s="3" t="s">
        <v>14</v>
      </c>
      <c r="Q60" s="3">
        <v>1</v>
      </c>
      <c r="R60" s="43">
        <f>VLOOKUP('15'!O60,Malzemeler!C:D,2,0)</f>
        <v>0</v>
      </c>
      <c r="S60" s="43">
        <f t="shared" si="1"/>
        <v>0</v>
      </c>
    </row>
    <row r="61" spans="2:19" x14ac:dyDescent="0.35">
      <c r="B61" s="1">
        <v>15</v>
      </c>
      <c r="C61" s="1" t="s">
        <v>698</v>
      </c>
      <c r="D61" s="1" t="s">
        <v>698</v>
      </c>
      <c r="E61" s="1" t="s">
        <v>698</v>
      </c>
      <c r="F61" s="1" t="s">
        <v>698</v>
      </c>
      <c r="G61" s="1" t="s">
        <v>698</v>
      </c>
      <c r="H61" s="1" t="s">
        <v>698</v>
      </c>
      <c r="I61" s="1" t="s">
        <v>698</v>
      </c>
      <c r="J61" s="1">
        <f t="shared" si="0"/>
        <v>1</v>
      </c>
      <c r="L61" s="1" t="s">
        <v>722</v>
      </c>
      <c r="M61" s="7">
        <v>58</v>
      </c>
      <c r="N61" s="5" t="s">
        <v>25</v>
      </c>
      <c r="O61" s="3" t="s">
        <v>26</v>
      </c>
      <c r="P61" s="3" t="s">
        <v>14</v>
      </c>
      <c r="Q61" s="3">
        <v>1</v>
      </c>
      <c r="R61" s="43">
        <f>VLOOKUP('15'!O61,Malzemeler!C:D,2,0)</f>
        <v>40.53</v>
      </c>
      <c r="S61" s="43">
        <f t="shared" si="1"/>
        <v>40.53</v>
      </c>
    </row>
    <row r="62" spans="2:19" x14ac:dyDescent="0.35">
      <c r="B62" s="1">
        <v>15</v>
      </c>
      <c r="C62" s="1" t="s">
        <v>698</v>
      </c>
      <c r="D62" s="1" t="s">
        <v>698</v>
      </c>
      <c r="E62" s="1" t="s">
        <v>698</v>
      </c>
      <c r="F62" s="1" t="s">
        <v>698</v>
      </c>
      <c r="G62" s="1" t="s">
        <v>698</v>
      </c>
      <c r="H62" s="1" t="s">
        <v>698</v>
      </c>
      <c r="I62" s="1" t="s">
        <v>698</v>
      </c>
      <c r="J62" s="1">
        <f t="shared" si="0"/>
        <v>1</v>
      </c>
      <c r="L62" s="1" t="s">
        <v>722</v>
      </c>
      <c r="M62" s="7">
        <v>59</v>
      </c>
      <c r="N62" s="5" t="s">
        <v>49</v>
      </c>
      <c r="O62" s="3" t="s">
        <v>50</v>
      </c>
      <c r="P62" s="3" t="s">
        <v>14</v>
      </c>
      <c r="Q62" s="3">
        <v>1</v>
      </c>
      <c r="R62" s="43">
        <f>VLOOKUP('15'!O62,Malzemeler!C:D,2,0)</f>
        <v>46.47</v>
      </c>
      <c r="S62" s="43">
        <f t="shared" si="1"/>
        <v>46.47</v>
      </c>
    </row>
    <row r="63" spans="2:19" x14ac:dyDescent="0.35">
      <c r="B63" s="1">
        <v>15</v>
      </c>
      <c r="C63" s="1" t="s">
        <v>698</v>
      </c>
      <c r="D63" s="1" t="s">
        <v>698</v>
      </c>
      <c r="E63" s="1" t="s">
        <v>698</v>
      </c>
      <c r="F63" s="1" t="s">
        <v>698</v>
      </c>
      <c r="G63" s="1" t="s">
        <v>698</v>
      </c>
      <c r="H63" s="1" t="s">
        <v>698</v>
      </c>
      <c r="I63" s="1" t="s">
        <v>698</v>
      </c>
      <c r="J63" s="1">
        <f t="shared" si="0"/>
        <v>1</v>
      </c>
      <c r="L63" s="1" t="s">
        <v>722</v>
      </c>
      <c r="M63" s="7">
        <v>60</v>
      </c>
      <c r="N63" s="5" t="s">
        <v>51</v>
      </c>
      <c r="O63" s="3" t="s">
        <v>52</v>
      </c>
      <c r="P63" s="3" t="s">
        <v>14</v>
      </c>
      <c r="Q63" s="3">
        <v>1</v>
      </c>
      <c r="R63" s="43">
        <f>VLOOKUP('15'!O63,Malzemeler!C:D,2,0)</f>
        <v>74.48</v>
      </c>
      <c r="S63" s="43">
        <f t="shared" si="1"/>
        <v>74.48</v>
      </c>
    </row>
    <row r="64" spans="2:19" x14ac:dyDescent="0.35">
      <c r="B64" s="1">
        <v>15</v>
      </c>
      <c r="C64" s="1" t="s">
        <v>698</v>
      </c>
      <c r="D64" s="1" t="s">
        <v>698</v>
      </c>
      <c r="E64" s="1" t="s">
        <v>698</v>
      </c>
      <c r="F64" s="1" t="s">
        <v>698</v>
      </c>
      <c r="G64" s="1" t="s">
        <v>698</v>
      </c>
      <c r="H64" s="1" t="s">
        <v>698</v>
      </c>
      <c r="I64" s="1" t="s">
        <v>698</v>
      </c>
      <c r="J64" s="1">
        <f t="shared" si="0"/>
        <v>1</v>
      </c>
      <c r="L64" s="1" t="s">
        <v>722</v>
      </c>
      <c r="M64" s="7">
        <v>61</v>
      </c>
      <c r="N64" s="5" t="s">
        <v>31</v>
      </c>
      <c r="O64" s="3" t="s">
        <v>32</v>
      </c>
      <c r="P64" s="3" t="s">
        <v>14</v>
      </c>
      <c r="Q64" s="3">
        <v>1</v>
      </c>
      <c r="R64" s="43">
        <f>VLOOKUP('15'!O64,Malzemeler!C:D,2,0)</f>
        <v>675.52</v>
      </c>
      <c r="S64" s="43">
        <f t="shared" si="1"/>
        <v>675.52</v>
      </c>
    </row>
    <row r="65" spans="2:19" x14ac:dyDescent="0.35">
      <c r="B65" s="1">
        <v>15</v>
      </c>
      <c r="C65" s="1" t="s">
        <v>698</v>
      </c>
      <c r="D65" s="1" t="s">
        <v>698</v>
      </c>
      <c r="E65" s="1" t="s">
        <v>698</v>
      </c>
      <c r="F65" s="1" t="s">
        <v>698</v>
      </c>
      <c r="G65" s="1" t="s">
        <v>698</v>
      </c>
      <c r="H65" s="1" t="s">
        <v>698</v>
      </c>
      <c r="I65" s="1" t="s">
        <v>698</v>
      </c>
      <c r="J65" s="1">
        <f t="shared" ref="J65:J81" si="2">SUBTOTAL(103,B65)</f>
        <v>1</v>
      </c>
      <c r="L65" s="1" t="s">
        <v>722</v>
      </c>
      <c r="M65" s="7">
        <v>62</v>
      </c>
      <c r="N65" s="5" t="s">
        <v>33</v>
      </c>
      <c r="O65" s="3" t="s">
        <v>34</v>
      </c>
      <c r="P65" s="3" t="s">
        <v>14</v>
      </c>
      <c r="Q65" s="3">
        <v>1</v>
      </c>
      <c r="R65" s="43">
        <f>VLOOKUP('15'!O65,Malzemeler!C:D,2,0)</f>
        <v>23.17</v>
      </c>
      <c r="S65" s="43">
        <f t="shared" si="1"/>
        <v>23.17</v>
      </c>
    </row>
    <row r="66" spans="2:19" x14ac:dyDescent="0.35">
      <c r="B66" s="1">
        <v>15</v>
      </c>
      <c r="C66" s="1" t="s">
        <v>698</v>
      </c>
      <c r="D66" s="1" t="s">
        <v>698</v>
      </c>
      <c r="E66" s="1" t="s">
        <v>698</v>
      </c>
      <c r="F66" s="1" t="s">
        <v>698</v>
      </c>
      <c r="G66" s="1" t="s">
        <v>698</v>
      </c>
      <c r="H66" s="1" t="s">
        <v>698</v>
      </c>
      <c r="I66" s="1" t="s">
        <v>698</v>
      </c>
      <c r="J66" s="1">
        <f t="shared" si="2"/>
        <v>1</v>
      </c>
      <c r="L66" s="1" t="s">
        <v>722</v>
      </c>
      <c r="M66" s="7">
        <v>63</v>
      </c>
      <c r="N66" s="1" t="s">
        <v>35</v>
      </c>
      <c r="O66" s="3" t="s">
        <v>36</v>
      </c>
      <c r="P66" s="3" t="s">
        <v>14</v>
      </c>
      <c r="Q66" s="3">
        <v>1</v>
      </c>
      <c r="R66" s="43">
        <f>VLOOKUP('15'!O66,Malzemeler!C:D,2,0)</f>
        <v>130.16</v>
      </c>
      <c r="S66" s="43">
        <f t="shared" ref="S66:S88" si="3">+R66*Q66</f>
        <v>130.16</v>
      </c>
    </row>
    <row r="67" spans="2:19" x14ac:dyDescent="0.35">
      <c r="B67" s="1">
        <v>15</v>
      </c>
      <c r="C67" s="1" t="s">
        <v>698</v>
      </c>
      <c r="D67" s="1" t="s">
        <v>698</v>
      </c>
      <c r="E67" s="1" t="s">
        <v>698</v>
      </c>
      <c r="F67" s="1" t="s">
        <v>698</v>
      </c>
      <c r="G67" s="1" t="s">
        <v>698</v>
      </c>
      <c r="H67" s="1" t="s">
        <v>698</v>
      </c>
      <c r="I67" s="1" t="s">
        <v>698</v>
      </c>
      <c r="J67" s="1">
        <f t="shared" si="2"/>
        <v>1</v>
      </c>
      <c r="L67" s="1" t="s">
        <v>722</v>
      </c>
      <c r="M67" s="7">
        <v>64</v>
      </c>
      <c r="N67" s="5" t="s">
        <v>37</v>
      </c>
      <c r="O67" s="3" t="s">
        <v>38</v>
      </c>
      <c r="P67" s="3" t="s">
        <v>14</v>
      </c>
      <c r="Q67" s="3">
        <v>1</v>
      </c>
      <c r="R67" s="43">
        <f>VLOOKUP('15'!O67,Malzemeler!C:D,2,0)</f>
        <v>130.16</v>
      </c>
      <c r="S67" s="43">
        <f t="shared" si="3"/>
        <v>130.16</v>
      </c>
    </row>
    <row r="68" spans="2:19" x14ac:dyDescent="0.35">
      <c r="B68" s="1">
        <v>15</v>
      </c>
      <c r="C68" s="1" t="s">
        <v>698</v>
      </c>
      <c r="D68" s="1" t="s">
        <v>698</v>
      </c>
      <c r="E68" s="1" t="s">
        <v>698</v>
      </c>
      <c r="F68" s="1" t="s">
        <v>698</v>
      </c>
      <c r="G68" s="1" t="s">
        <v>698</v>
      </c>
      <c r="H68" s="1" t="s">
        <v>698</v>
      </c>
      <c r="I68" s="1" t="s">
        <v>698</v>
      </c>
      <c r="J68" s="1">
        <f t="shared" si="2"/>
        <v>1</v>
      </c>
      <c r="L68" s="1" t="s">
        <v>722</v>
      </c>
      <c r="M68" s="7">
        <v>65</v>
      </c>
      <c r="N68" s="5" t="s">
        <v>39</v>
      </c>
      <c r="O68" s="3" t="s">
        <v>40</v>
      </c>
      <c r="P68" s="3" t="s">
        <v>14</v>
      </c>
      <c r="Q68" s="3">
        <v>2</v>
      </c>
      <c r="R68" s="43">
        <f>VLOOKUP('15'!O68,Malzemeler!C:D,2,0)</f>
        <v>4.7300000000000004</v>
      </c>
      <c r="S68" s="43">
        <f t="shared" si="3"/>
        <v>9.4600000000000009</v>
      </c>
    </row>
    <row r="69" spans="2:19" x14ac:dyDescent="0.35">
      <c r="B69" s="1">
        <v>15</v>
      </c>
      <c r="C69" s="1" t="s">
        <v>698</v>
      </c>
      <c r="D69" s="1" t="s">
        <v>698</v>
      </c>
      <c r="E69" s="1" t="s">
        <v>698</v>
      </c>
      <c r="F69" s="1" t="s">
        <v>698</v>
      </c>
      <c r="G69" s="1" t="s">
        <v>698</v>
      </c>
      <c r="H69" s="1" t="s">
        <v>698</v>
      </c>
      <c r="I69" s="1" t="s">
        <v>698</v>
      </c>
      <c r="J69" s="1">
        <f t="shared" si="2"/>
        <v>1</v>
      </c>
      <c r="L69" s="1" t="s">
        <v>722</v>
      </c>
      <c r="M69" s="7">
        <v>66</v>
      </c>
      <c r="N69" s="5" t="s">
        <v>41</v>
      </c>
      <c r="O69" s="3" t="s">
        <v>42</v>
      </c>
      <c r="P69" s="3" t="s">
        <v>14</v>
      </c>
      <c r="Q69" s="3">
        <v>2</v>
      </c>
      <c r="R69" s="43">
        <f>VLOOKUP('15'!O69,Malzemeler!C:D,2,0)</f>
        <v>155.05000000000001</v>
      </c>
      <c r="S69" s="43">
        <f t="shared" si="3"/>
        <v>310.10000000000002</v>
      </c>
    </row>
    <row r="70" spans="2:19" x14ac:dyDescent="0.35">
      <c r="B70" s="1">
        <v>15</v>
      </c>
      <c r="C70" s="1" t="s">
        <v>698</v>
      </c>
      <c r="D70" s="1" t="s">
        <v>698</v>
      </c>
      <c r="E70" s="1" t="s">
        <v>698</v>
      </c>
      <c r="F70" s="1" t="s">
        <v>698</v>
      </c>
      <c r="G70" s="1" t="s">
        <v>698</v>
      </c>
      <c r="H70" s="1" t="s">
        <v>698</v>
      </c>
      <c r="I70" s="1" t="s">
        <v>698</v>
      </c>
      <c r="J70" s="1">
        <f t="shared" si="2"/>
        <v>1</v>
      </c>
      <c r="L70" s="1" t="s">
        <v>722</v>
      </c>
      <c r="M70" s="7">
        <v>67</v>
      </c>
      <c r="N70" s="5" t="s">
        <v>43</v>
      </c>
      <c r="O70" s="3" t="s">
        <v>44</v>
      </c>
      <c r="P70" s="3" t="s">
        <v>14</v>
      </c>
      <c r="Q70" s="3">
        <v>1</v>
      </c>
      <c r="R70" s="43">
        <f>VLOOKUP('15'!O70,Malzemeler!C:D,2,0)</f>
        <v>238.61</v>
      </c>
      <c r="S70" s="43">
        <f t="shared" si="3"/>
        <v>238.61</v>
      </c>
    </row>
    <row r="71" spans="2:19" x14ac:dyDescent="0.35">
      <c r="B71" s="1">
        <v>15</v>
      </c>
      <c r="C71" s="1" t="s">
        <v>698</v>
      </c>
      <c r="D71" s="1" t="s">
        <v>698</v>
      </c>
      <c r="E71" s="1" t="s">
        <v>698</v>
      </c>
      <c r="F71" s="1" t="s">
        <v>698</v>
      </c>
      <c r="G71" s="1" t="s">
        <v>698</v>
      </c>
      <c r="H71" s="1" t="s">
        <v>698</v>
      </c>
      <c r="I71" s="1" t="s">
        <v>698</v>
      </c>
      <c r="J71" s="1">
        <f t="shared" si="2"/>
        <v>1</v>
      </c>
      <c r="L71" s="1" t="s">
        <v>722</v>
      </c>
      <c r="M71" s="7">
        <v>68</v>
      </c>
      <c r="N71" s="5" t="s">
        <v>45</v>
      </c>
      <c r="O71" s="3" t="s">
        <v>46</v>
      </c>
      <c r="P71" s="3" t="s">
        <v>14</v>
      </c>
      <c r="Q71" s="3">
        <v>1</v>
      </c>
      <c r="R71" s="43">
        <f>VLOOKUP('15'!O71,Malzemeler!C:D,2,0)</f>
        <v>10.84</v>
      </c>
      <c r="S71" s="43">
        <f t="shared" si="3"/>
        <v>10.84</v>
      </c>
    </row>
    <row r="72" spans="2:19" x14ac:dyDescent="0.35">
      <c r="B72" s="1">
        <v>15</v>
      </c>
      <c r="C72" s="1" t="s">
        <v>698</v>
      </c>
      <c r="D72" s="1" t="s">
        <v>698</v>
      </c>
      <c r="E72" s="1" t="s">
        <v>698</v>
      </c>
      <c r="F72" s="1" t="s">
        <v>698</v>
      </c>
      <c r="G72" s="1" t="s">
        <v>698</v>
      </c>
      <c r="H72" s="1" t="s">
        <v>698</v>
      </c>
      <c r="I72" s="1" t="s">
        <v>698</v>
      </c>
      <c r="J72" s="1">
        <f t="shared" si="2"/>
        <v>1</v>
      </c>
      <c r="L72" s="1" t="s">
        <v>722</v>
      </c>
      <c r="M72" s="7">
        <v>69</v>
      </c>
      <c r="N72" s="5" t="s">
        <v>47</v>
      </c>
      <c r="O72" s="3" t="s">
        <v>48</v>
      </c>
      <c r="P72" s="3" t="s">
        <v>14</v>
      </c>
      <c r="Q72" s="3">
        <v>1</v>
      </c>
      <c r="R72" s="43">
        <f>VLOOKUP('15'!O72,Malzemeler!C:D,2,0)</f>
        <v>22.83</v>
      </c>
      <c r="S72" s="43">
        <f t="shared" si="3"/>
        <v>22.83</v>
      </c>
    </row>
    <row r="73" spans="2:19" x14ac:dyDescent="0.35">
      <c r="B73" s="1">
        <v>15</v>
      </c>
      <c r="C73" s="1" t="s">
        <v>698</v>
      </c>
      <c r="D73" s="1" t="s">
        <v>698</v>
      </c>
      <c r="E73" s="1" t="s">
        <v>698</v>
      </c>
      <c r="F73" s="1" t="s">
        <v>698</v>
      </c>
      <c r="G73" s="1" t="s">
        <v>698</v>
      </c>
      <c r="H73" s="1" t="s">
        <v>698</v>
      </c>
      <c r="I73" s="1" t="s">
        <v>698</v>
      </c>
      <c r="J73" s="1">
        <f t="shared" si="2"/>
        <v>1</v>
      </c>
      <c r="L73" s="1" t="s">
        <v>722</v>
      </c>
      <c r="M73" s="7">
        <v>70</v>
      </c>
      <c r="N73" s="5" t="s">
        <v>678</v>
      </c>
      <c r="O73" s="3" t="s">
        <v>679</v>
      </c>
      <c r="P73" s="3" t="s">
        <v>14</v>
      </c>
      <c r="Q73" s="3">
        <v>1</v>
      </c>
      <c r="R73" s="43">
        <f>VLOOKUP('15'!O73,Malzemeler!C:D,2,0)</f>
        <v>0</v>
      </c>
      <c r="S73" s="43">
        <f t="shared" si="3"/>
        <v>0</v>
      </c>
    </row>
    <row r="74" spans="2:19" x14ac:dyDescent="0.35">
      <c r="B74" s="1">
        <v>15</v>
      </c>
      <c r="C74" s="1" t="s">
        <v>698</v>
      </c>
      <c r="D74" s="1" t="s">
        <v>698</v>
      </c>
      <c r="E74" s="1" t="s">
        <v>698</v>
      </c>
      <c r="F74" s="1" t="s">
        <v>698</v>
      </c>
      <c r="G74" s="1" t="s">
        <v>698</v>
      </c>
      <c r="H74" s="1" t="s">
        <v>698</v>
      </c>
      <c r="I74" s="1" t="s">
        <v>698</v>
      </c>
      <c r="J74" s="1">
        <f t="shared" si="2"/>
        <v>1</v>
      </c>
      <c r="L74" s="1" t="s">
        <v>722</v>
      </c>
      <c r="M74" s="7">
        <v>71</v>
      </c>
      <c r="N74" s="5" t="s">
        <v>593</v>
      </c>
      <c r="O74" s="3" t="s">
        <v>592</v>
      </c>
      <c r="P74" s="3" t="s">
        <v>14</v>
      </c>
      <c r="Q74" s="3">
        <v>1</v>
      </c>
      <c r="R74" s="43">
        <f>VLOOKUP('15'!O74,Malzemeler!C:D,2,0)</f>
        <v>0</v>
      </c>
      <c r="S74" s="43">
        <f t="shared" si="3"/>
        <v>0</v>
      </c>
    </row>
    <row r="75" spans="2:19" x14ac:dyDescent="0.35">
      <c r="B75" s="1">
        <v>15</v>
      </c>
      <c r="C75" s="1" t="s">
        <v>698</v>
      </c>
      <c r="D75" s="1" t="s">
        <v>698</v>
      </c>
      <c r="E75" s="1" t="s">
        <v>698</v>
      </c>
      <c r="F75" s="1" t="s">
        <v>698</v>
      </c>
      <c r="G75" s="1" t="s">
        <v>698</v>
      </c>
      <c r="H75" s="1" t="s">
        <v>698</v>
      </c>
      <c r="I75" s="1" t="s">
        <v>698</v>
      </c>
      <c r="J75" s="1">
        <f t="shared" si="2"/>
        <v>1</v>
      </c>
      <c r="L75" s="1" t="s">
        <v>722</v>
      </c>
      <c r="M75" s="7">
        <v>72</v>
      </c>
      <c r="N75" s="5" t="s">
        <v>594</v>
      </c>
      <c r="O75" s="3" t="s">
        <v>595</v>
      </c>
      <c r="P75" s="3" t="s">
        <v>14</v>
      </c>
      <c r="Q75" s="3">
        <v>1</v>
      </c>
      <c r="R75" s="43">
        <f>VLOOKUP('15'!O75,Malzemeler!C:D,2,0)</f>
        <v>0</v>
      </c>
      <c r="S75" s="43">
        <f t="shared" si="3"/>
        <v>0</v>
      </c>
    </row>
    <row r="76" spans="2:19" x14ac:dyDescent="0.35">
      <c r="B76" s="1">
        <v>15</v>
      </c>
      <c r="C76" s="1" t="s">
        <v>698</v>
      </c>
      <c r="D76" s="1" t="s">
        <v>698</v>
      </c>
      <c r="E76" s="1" t="s">
        <v>698</v>
      </c>
      <c r="F76" s="1" t="s">
        <v>698</v>
      </c>
      <c r="G76" s="1" t="s">
        <v>698</v>
      </c>
      <c r="H76" s="1" t="s">
        <v>698</v>
      </c>
      <c r="I76" s="1" t="s">
        <v>698</v>
      </c>
      <c r="J76" s="1">
        <f t="shared" si="2"/>
        <v>1</v>
      </c>
      <c r="L76" s="1" t="s">
        <v>722</v>
      </c>
      <c r="M76" s="7">
        <v>73</v>
      </c>
      <c r="N76" s="5" t="s">
        <v>598</v>
      </c>
      <c r="O76" s="3" t="s">
        <v>597</v>
      </c>
      <c r="P76" s="3" t="s">
        <v>14</v>
      </c>
      <c r="Q76" s="3">
        <v>2</v>
      </c>
      <c r="R76" s="43">
        <f>VLOOKUP('15'!O76,Malzemeler!C:D,2,0)</f>
        <v>0</v>
      </c>
      <c r="S76" s="43">
        <f t="shared" si="3"/>
        <v>0</v>
      </c>
    </row>
    <row r="77" spans="2:19" x14ac:dyDescent="0.35">
      <c r="B77" s="1">
        <v>15</v>
      </c>
      <c r="C77" s="1" t="s">
        <v>698</v>
      </c>
      <c r="D77" s="1" t="s">
        <v>698</v>
      </c>
      <c r="E77" s="1" t="s">
        <v>698</v>
      </c>
      <c r="F77" s="1" t="s">
        <v>698</v>
      </c>
      <c r="G77" s="1" t="s">
        <v>698</v>
      </c>
      <c r="H77" s="1" t="s">
        <v>698</v>
      </c>
      <c r="I77" s="1" t="s">
        <v>698</v>
      </c>
      <c r="J77" s="1">
        <f t="shared" si="2"/>
        <v>1</v>
      </c>
      <c r="L77" s="1" t="s">
        <v>722</v>
      </c>
      <c r="M77" s="7">
        <v>74</v>
      </c>
      <c r="N77" s="5" t="s">
        <v>147</v>
      </c>
      <c r="O77" s="3" t="s">
        <v>263</v>
      </c>
      <c r="P77" s="3" t="s">
        <v>14</v>
      </c>
      <c r="Q77" s="3">
        <v>1</v>
      </c>
      <c r="R77" s="43">
        <f>VLOOKUP('15'!O77,Malzemeler!C:D,2,0)</f>
        <v>20</v>
      </c>
      <c r="S77" s="43">
        <f t="shared" si="3"/>
        <v>20</v>
      </c>
    </row>
    <row r="78" spans="2:19" x14ac:dyDescent="0.35">
      <c r="B78" s="1">
        <v>15</v>
      </c>
      <c r="C78" s="1" t="s">
        <v>698</v>
      </c>
      <c r="D78" s="1" t="s">
        <v>698</v>
      </c>
      <c r="E78" s="1" t="s">
        <v>698</v>
      </c>
      <c r="F78" s="1" t="s">
        <v>698</v>
      </c>
      <c r="G78" s="1" t="s">
        <v>698</v>
      </c>
      <c r="H78" s="1" t="s">
        <v>698</v>
      </c>
      <c r="I78" s="1" t="s">
        <v>698</v>
      </c>
      <c r="J78" s="1">
        <f t="shared" si="2"/>
        <v>1</v>
      </c>
      <c r="L78" s="1" t="s">
        <v>722</v>
      </c>
      <c r="M78" s="7">
        <v>75</v>
      </c>
      <c r="N78" s="6" t="s">
        <v>53</v>
      </c>
      <c r="O78" s="3" t="s">
        <v>56</v>
      </c>
      <c r="P78" s="3" t="s">
        <v>14</v>
      </c>
      <c r="Q78" s="3">
        <v>3</v>
      </c>
      <c r="R78" s="43">
        <f>VLOOKUP('15'!O78,Malzemeler!C:D,2,0)</f>
        <v>65.58</v>
      </c>
      <c r="S78" s="43">
        <f t="shared" si="3"/>
        <v>196.74</v>
      </c>
    </row>
    <row r="79" spans="2:19" x14ac:dyDescent="0.35">
      <c r="B79" s="1">
        <v>15</v>
      </c>
      <c r="C79" s="1" t="s">
        <v>698</v>
      </c>
      <c r="D79" s="1" t="s">
        <v>698</v>
      </c>
      <c r="E79" s="1" t="s">
        <v>698</v>
      </c>
      <c r="F79" s="1" t="s">
        <v>698</v>
      </c>
      <c r="G79" s="1" t="s">
        <v>698</v>
      </c>
      <c r="H79" s="1" t="s">
        <v>698</v>
      </c>
      <c r="I79" s="1" t="s">
        <v>698</v>
      </c>
      <c r="J79" s="1">
        <f t="shared" si="2"/>
        <v>1</v>
      </c>
      <c r="L79" s="1" t="s">
        <v>722</v>
      </c>
      <c r="M79" s="7">
        <v>76</v>
      </c>
      <c r="N79" s="5" t="s">
        <v>589</v>
      </c>
      <c r="O79" s="3" t="s">
        <v>596</v>
      </c>
      <c r="P79" s="3" t="s">
        <v>14</v>
      </c>
      <c r="Q79" s="3">
        <v>1</v>
      </c>
      <c r="R79" s="43">
        <f>VLOOKUP('15'!O79,Malzemeler!C:D,2,0)</f>
        <v>59.21</v>
      </c>
      <c r="S79" s="43">
        <f t="shared" si="3"/>
        <v>59.21</v>
      </c>
    </row>
    <row r="80" spans="2:19" x14ac:dyDescent="0.35">
      <c r="B80" s="1">
        <v>15</v>
      </c>
      <c r="C80" s="1" t="s">
        <v>698</v>
      </c>
      <c r="D80" s="1" t="s">
        <v>698</v>
      </c>
      <c r="E80" s="1" t="s">
        <v>698</v>
      </c>
      <c r="F80" s="1" t="s">
        <v>698</v>
      </c>
      <c r="G80" s="1" t="s">
        <v>698</v>
      </c>
      <c r="H80" s="1" t="s">
        <v>698</v>
      </c>
      <c r="I80" s="1" t="s">
        <v>698</v>
      </c>
      <c r="J80" s="1">
        <f t="shared" si="2"/>
        <v>1</v>
      </c>
      <c r="L80" s="1" t="s">
        <v>722</v>
      </c>
      <c r="M80" s="7">
        <v>77</v>
      </c>
      <c r="N80" s="6" t="s">
        <v>54</v>
      </c>
      <c r="O80" s="3" t="s">
        <v>57</v>
      </c>
      <c r="P80" s="3" t="s">
        <v>14</v>
      </c>
      <c r="Q80" s="3">
        <v>1</v>
      </c>
      <c r="R80" s="43">
        <f>VLOOKUP('15'!O80,Malzemeler!C:D,2,0)</f>
        <v>77.55</v>
      </c>
      <c r="S80" s="43">
        <f t="shared" si="3"/>
        <v>77.55</v>
      </c>
    </row>
    <row r="81" spans="2:19" x14ac:dyDescent="0.35">
      <c r="B81" s="1">
        <v>15</v>
      </c>
      <c r="C81" s="1" t="s">
        <v>698</v>
      </c>
      <c r="D81" s="1" t="s">
        <v>698</v>
      </c>
      <c r="E81" s="1" t="s">
        <v>698</v>
      </c>
      <c r="F81" s="1" t="s">
        <v>698</v>
      </c>
      <c r="G81" s="1" t="s">
        <v>698</v>
      </c>
      <c r="H81" s="1" t="s">
        <v>698</v>
      </c>
      <c r="I81" s="1" t="s">
        <v>698</v>
      </c>
      <c r="J81" s="1">
        <f t="shared" si="2"/>
        <v>1</v>
      </c>
      <c r="L81" s="1" t="s">
        <v>722</v>
      </c>
      <c r="M81" s="7">
        <v>78</v>
      </c>
      <c r="N81" s="6" t="s">
        <v>553</v>
      </c>
      <c r="O81" s="3" t="s">
        <v>193</v>
      </c>
      <c r="P81" s="3" t="s">
        <v>14</v>
      </c>
      <c r="Q81" s="3">
        <v>1</v>
      </c>
      <c r="R81" s="43">
        <f>VLOOKUP('15'!O81,Malzemeler!C:D,2,0)</f>
        <v>54.45</v>
      </c>
      <c r="S81" s="43">
        <f t="shared" si="3"/>
        <v>54.45</v>
      </c>
    </row>
    <row r="82" spans="2:19" x14ac:dyDescent="0.35">
      <c r="B82" s="1">
        <v>15</v>
      </c>
      <c r="C82" s="1" t="s">
        <v>698</v>
      </c>
      <c r="D82" s="1" t="s">
        <v>698</v>
      </c>
      <c r="E82" s="1" t="s">
        <v>698</v>
      </c>
      <c r="F82" s="1" t="s">
        <v>698</v>
      </c>
      <c r="G82" s="1" t="s">
        <v>698</v>
      </c>
      <c r="H82" s="1" t="s">
        <v>698</v>
      </c>
      <c r="I82" s="1" t="s">
        <v>698</v>
      </c>
      <c r="J82" s="1">
        <f t="shared" ref="J82:J87" si="4">SUBTOTAL(103,B82)</f>
        <v>1</v>
      </c>
      <c r="L82" s="1" t="s">
        <v>722</v>
      </c>
      <c r="M82" s="7">
        <v>79</v>
      </c>
      <c r="N82" s="1" t="s">
        <v>194</v>
      </c>
      <c r="O82" s="3" t="s">
        <v>195</v>
      </c>
      <c r="P82" s="3" t="s">
        <v>14</v>
      </c>
      <c r="Q82" s="3">
        <v>2</v>
      </c>
      <c r="R82" s="43">
        <f>VLOOKUP('15'!O82,Malzemeler!C:D,2,0)</f>
        <v>0</v>
      </c>
      <c r="S82" s="43">
        <f t="shared" si="3"/>
        <v>0</v>
      </c>
    </row>
    <row r="83" spans="2:19" x14ac:dyDescent="0.35">
      <c r="B83" s="1">
        <v>15</v>
      </c>
      <c r="C83" s="1" t="s">
        <v>698</v>
      </c>
      <c r="D83" s="1" t="s">
        <v>698</v>
      </c>
      <c r="E83" s="1" t="s">
        <v>698</v>
      </c>
      <c r="F83" s="1" t="s">
        <v>698</v>
      </c>
      <c r="G83" s="1" t="s">
        <v>698</v>
      </c>
      <c r="H83" s="1" t="s">
        <v>698</v>
      </c>
      <c r="I83" s="1" t="s">
        <v>698</v>
      </c>
      <c r="J83" s="1">
        <f t="shared" si="4"/>
        <v>1</v>
      </c>
      <c r="L83" s="1" t="s">
        <v>722</v>
      </c>
      <c r="M83" s="7">
        <v>80</v>
      </c>
      <c r="N83" s="1" t="s">
        <v>682</v>
      </c>
      <c r="O83" s="3" t="s">
        <v>691</v>
      </c>
      <c r="P83" s="3" t="s">
        <v>14</v>
      </c>
      <c r="Q83" s="3">
        <v>1</v>
      </c>
      <c r="R83" s="43">
        <f>VLOOKUP('15'!O83,Malzemeler!C:D,2,0)</f>
        <v>0</v>
      </c>
      <c r="S83" s="43">
        <f t="shared" si="3"/>
        <v>0</v>
      </c>
    </row>
    <row r="84" spans="2:19" x14ac:dyDescent="0.35">
      <c r="B84" s="1">
        <v>15</v>
      </c>
      <c r="C84" s="1" t="s">
        <v>698</v>
      </c>
      <c r="D84" s="1" t="s">
        <v>698</v>
      </c>
      <c r="E84" s="1" t="s">
        <v>698</v>
      </c>
      <c r="F84" s="1" t="s">
        <v>698</v>
      </c>
      <c r="G84" s="1" t="s">
        <v>698</v>
      </c>
      <c r="H84" s="1" t="s">
        <v>698</v>
      </c>
      <c r="I84" s="1" t="s">
        <v>698</v>
      </c>
      <c r="J84" s="1">
        <f t="shared" si="4"/>
        <v>1</v>
      </c>
      <c r="L84" s="1" t="s">
        <v>722</v>
      </c>
      <c r="M84" s="7">
        <v>81</v>
      </c>
      <c r="N84" s="1" t="s">
        <v>624</v>
      </c>
      <c r="O84" s="3" t="s">
        <v>625</v>
      </c>
      <c r="P84" s="3" t="s">
        <v>14</v>
      </c>
      <c r="Q84" s="3">
        <v>1</v>
      </c>
      <c r="R84" s="43">
        <f>VLOOKUP('15'!O84,Malzemeler!C:D,2,0)</f>
        <v>0</v>
      </c>
      <c r="S84" s="43">
        <f t="shared" si="3"/>
        <v>0</v>
      </c>
    </row>
    <row r="85" spans="2:19" x14ac:dyDescent="0.35">
      <c r="B85" s="1">
        <v>15</v>
      </c>
      <c r="C85" s="1" t="s">
        <v>698</v>
      </c>
      <c r="D85" s="1" t="s">
        <v>698</v>
      </c>
      <c r="E85" s="1" t="s">
        <v>698</v>
      </c>
      <c r="F85" s="1" t="s">
        <v>698</v>
      </c>
      <c r="G85" s="1" t="s">
        <v>698</v>
      </c>
      <c r="H85" s="1" t="s">
        <v>698</v>
      </c>
      <c r="I85" s="1" t="s">
        <v>698</v>
      </c>
      <c r="J85" s="1">
        <f t="shared" si="4"/>
        <v>1</v>
      </c>
      <c r="L85" s="1" t="s">
        <v>722</v>
      </c>
      <c r="M85" s="7">
        <v>82</v>
      </c>
      <c r="N85" s="1" t="s">
        <v>750</v>
      </c>
      <c r="O85" s="3" t="s">
        <v>753</v>
      </c>
      <c r="P85" s="3" t="s">
        <v>135</v>
      </c>
      <c r="Q85" s="3">
        <v>21</v>
      </c>
      <c r="R85" s="43">
        <f>VLOOKUP('15'!O85,Malzemeler!C:D,2,0)</f>
        <v>0</v>
      </c>
      <c r="S85" s="43">
        <f t="shared" ref="S85:S87" si="5">+R85*Q85</f>
        <v>0</v>
      </c>
    </row>
    <row r="86" spans="2:19" x14ac:dyDescent="0.35">
      <c r="B86" s="1">
        <v>15</v>
      </c>
      <c r="C86" s="1" t="s">
        <v>698</v>
      </c>
      <c r="D86" s="1" t="s">
        <v>698</v>
      </c>
      <c r="E86" s="1" t="s">
        <v>698</v>
      </c>
      <c r="F86" s="1" t="s">
        <v>698</v>
      </c>
      <c r="G86" s="1" t="s">
        <v>698</v>
      </c>
      <c r="H86" s="1" t="s">
        <v>698</v>
      </c>
      <c r="I86" s="1" t="s">
        <v>698</v>
      </c>
      <c r="J86" s="1">
        <f t="shared" si="4"/>
        <v>1</v>
      </c>
      <c r="L86" s="1" t="s">
        <v>722</v>
      </c>
      <c r="M86" s="7">
        <v>83</v>
      </c>
      <c r="N86" s="1" t="s">
        <v>751</v>
      </c>
      <c r="O86" s="3" t="s">
        <v>754</v>
      </c>
      <c r="P86" s="3" t="s">
        <v>135</v>
      </c>
      <c r="Q86" s="3">
        <v>81</v>
      </c>
      <c r="R86" s="43">
        <f>VLOOKUP('15'!O86,Malzemeler!C:D,2,0)</f>
        <v>0</v>
      </c>
      <c r="S86" s="43">
        <f t="shared" si="5"/>
        <v>0</v>
      </c>
    </row>
    <row r="87" spans="2:19" x14ac:dyDescent="0.35">
      <c r="B87" s="1">
        <v>15</v>
      </c>
      <c r="C87" s="1" t="s">
        <v>698</v>
      </c>
      <c r="D87" s="1" t="s">
        <v>698</v>
      </c>
      <c r="E87" s="1" t="s">
        <v>698</v>
      </c>
      <c r="F87" s="1" t="s">
        <v>698</v>
      </c>
      <c r="G87" s="1" t="s">
        <v>698</v>
      </c>
      <c r="H87" s="1" t="s">
        <v>698</v>
      </c>
      <c r="I87" s="1" t="s">
        <v>698</v>
      </c>
      <c r="J87" s="1">
        <f t="shared" si="4"/>
        <v>1</v>
      </c>
      <c r="L87" s="1" t="s">
        <v>722</v>
      </c>
      <c r="M87" s="7">
        <v>84</v>
      </c>
      <c r="N87" s="1" t="s">
        <v>752</v>
      </c>
      <c r="O87" s="3" t="s">
        <v>755</v>
      </c>
      <c r="P87" s="3" t="s">
        <v>135</v>
      </c>
      <c r="Q87" s="3">
        <v>45</v>
      </c>
      <c r="R87" s="43">
        <f>VLOOKUP('15'!O87,Malzemeler!C:D,2,0)</f>
        <v>0</v>
      </c>
      <c r="S87" s="43">
        <f t="shared" si="5"/>
        <v>0</v>
      </c>
    </row>
    <row r="88" spans="2:19" x14ac:dyDescent="0.35">
      <c r="B88" s="1">
        <v>15</v>
      </c>
      <c r="C88" s="1" t="s">
        <v>698</v>
      </c>
      <c r="D88" s="1" t="s">
        <v>698</v>
      </c>
      <c r="E88" s="1" t="s">
        <v>698</v>
      </c>
      <c r="F88" s="1" t="s">
        <v>698</v>
      </c>
      <c r="G88" s="1" t="s">
        <v>698</v>
      </c>
      <c r="H88" s="1" t="s">
        <v>698</v>
      </c>
      <c r="I88" s="1">
        <v>1</v>
      </c>
      <c r="J88" s="1">
        <f>SUBTOTAL(103,B88)</f>
        <v>1</v>
      </c>
      <c r="L88" s="1" t="s">
        <v>721</v>
      </c>
      <c r="M88" s="7">
        <v>1</v>
      </c>
      <c r="N88" s="5" t="s">
        <v>668</v>
      </c>
      <c r="O88" s="3" t="s">
        <v>669</v>
      </c>
      <c r="P88" s="3" t="s">
        <v>14</v>
      </c>
      <c r="Q88" s="3">
        <v>1</v>
      </c>
      <c r="R88" s="43">
        <f>VLOOKUP('15'!O88,Malzemeler!C:D,2,0)</f>
        <v>0</v>
      </c>
      <c r="S88" s="43">
        <f t="shared" si="3"/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34049-CA1E-427F-8289-262ACEEAEC03}">
  <sheetPr codeName="Sayfa7"/>
  <dimension ref="A1:S161"/>
  <sheetViews>
    <sheetView topLeftCell="F1" zoomScale="85" zoomScaleNormal="85" workbookViewId="0">
      <pane ySplit="1" topLeftCell="A125" activePane="bottomLeft" state="frozen"/>
      <selection pane="bottomLeft" activeCell="N135" sqref="N135"/>
    </sheetView>
  </sheetViews>
  <sheetFormatPr defaultColWidth="8.6640625" defaultRowHeight="15" x14ac:dyDescent="0.35"/>
  <cols>
    <col min="1" max="1" width="5.21875" style="38" customWidth="1"/>
    <col min="2" max="2" width="6.88671875" style="1" bestFit="1" customWidth="1"/>
    <col min="3" max="3" width="5.6640625" style="1" bestFit="1" customWidth="1"/>
    <col min="4" max="4" width="14.44140625" style="1" bestFit="1" customWidth="1"/>
    <col min="5" max="5" width="12.109375" style="1" bestFit="1" customWidth="1"/>
    <col min="6" max="6" width="17.44140625" style="1" bestFit="1" customWidth="1"/>
    <col min="7" max="7" width="10.44140625" style="1" bestFit="1" customWidth="1"/>
    <col min="8" max="8" width="9.109375" style="1" bestFit="1" customWidth="1"/>
    <col min="9" max="9" width="7.44140625" style="1" bestFit="1" customWidth="1"/>
    <col min="10" max="10" width="2.44140625" style="1" bestFit="1" customWidth="1"/>
    <col min="11" max="11" width="5.21875" style="1" customWidth="1"/>
    <col min="12" max="12" width="27.109375" style="1" bestFit="1" customWidth="1"/>
    <col min="13" max="13" width="4.6640625" style="2" bestFit="1" customWidth="1"/>
    <col min="14" max="14" width="89.77734375" style="1" customWidth="1"/>
    <col min="15" max="15" width="25.44140625" style="1" bestFit="1" customWidth="1"/>
    <col min="16" max="16" width="6.88671875" style="1" bestFit="1" customWidth="1"/>
    <col min="17" max="17" width="8.88671875" style="1" bestFit="1" customWidth="1"/>
    <col min="18" max="18" width="13.44140625" style="1" bestFit="1" customWidth="1"/>
    <col min="19" max="19" width="16" style="1" bestFit="1" customWidth="1"/>
    <col min="20" max="16384" width="8.6640625" style="1"/>
  </cols>
  <sheetData>
    <row r="1" spans="1:19" x14ac:dyDescent="0.35">
      <c r="A1" s="35"/>
      <c r="B1" s="5" t="s">
        <v>493</v>
      </c>
      <c r="C1" s="5" t="s">
        <v>571</v>
      </c>
      <c r="D1" s="5" t="s">
        <v>569</v>
      </c>
      <c r="E1" s="5" t="s">
        <v>570</v>
      </c>
      <c r="F1" s="5" t="s">
        <v>581</v>
      </c>
      <c r="G1" s="5" t="s">
        <v>599</v>
      </c>
      <c r="H1" s="5" t="s">
        <v>600</v>
      </c>
      <c r="I1" s="5" t="s">
        <v>601</v>
      </c>
      <c r="N1" s="4" t="s">
        <v>286</v>
      </c>
    </row>
    <row r="2" spans="1:19" x14ac:dyDescent="0.35">
      <c r="B2" s="1">
        <v>22</v>
      </c>
      <c r="C2" s="1" t="s">
        <v>698</v>
      </c>
      <c r="D2" s="1" t="s">
        <v>698</v>
      </c>
      <c r="E2" s="1" t="s">
        <v>698</v>
      </c>
      <c r="F2" s="1" t="s">
        <v>698</v>
      </c>
      <c r="G2" s="1" t="s">
        <v>698</v>
      </c>
      <c r="H2" s="1" t="s">
        <v>698</v>
      </c>
      <c r="I2" s="1" t="s">
        <v>698</v>
      </c>
      <c r="J2" s="1">
        <f>SUBTOTAL(103,B2)</f>
        <v>1</v>
      </c>
      <c r="M2" s="8" t="s">
        <v>1</v>
      </c>
      <c r="N2" s="9" t="s">
        <v>2</v>
      </c>
      <c r="O2" s="9" t="s">
        <v>3</v>
      </c>
      <c r="P2" s="9" t="s">
        <v>4</v>
      </c>
      <c r="Q2" s="9" t="s">
        <v>5</v>
      </c>
      <c r="R2" s="9" t="s">
        <v>739</v>
      </c>
      <c r="S2" s="9" t="s">
        <v>740</v>
      </c>
    </row>
    <row r="3" spans="1:19" ht="15" customHeight="1" x14ac:dyDescent="0.35">
      <c r="A3" s="99" t="s">
        <v>723</v>
      </c>
      <c r="B3" s="1">
        <v>22</v>
      </c>
      <c r="C3" s="1" t="s">
        <v>698</v>
      </c>
      <c r="D3" s="1" t="s">
        <v>698</v>
      </c>
      <c r="E3" s="1" t="s">
        <v>698</v>
      </c>
      <c r="F3" s="1" t="s">
        <v>698</v>
      </c>
      <c r="G3" s="1" t="s">
        <v>698</v>
      </c>
      <c r="H3" s="1" t="s">
        <v>698</v>
      </c>
      <c r="I3" s="1" t="s">
        <v>698</v>
      </c>
      <c r="J3" s="1">
        <f t="shared" ref="J3:J37" si="0">SUBTOTAL(103,B3)</f>
        <v>1</v>
      </c>
      <c r="L3" s="1" t="s">
        <v>723</v>
      </c>
      <c r="M3" s="7">
        <v>1</v>
      </c>
      <c r="N3" s="5" t="s">
        <v>203</v>
      </c>
      <c r="O3" s="3" t="s">
        <v>204</v>
      </c>
      <c r="P3" s="3" t="s">
        <v>14</v>
      </c>
      <c r="Q3" s="3">
        <v>1</v>
      </c>
      <c r="R3" s="43">
        <f>VLOOKUP('22'!O3,Malzemeler!C:D,2,0)</f>
        <v>1211.04</v>
      </c>
      <c r="S3" s="43">
        <f>+R3*Q3</f>
        <v>1211.04</v>
      </c>
    </row>
    <row r="4" spans="1:19" x14ac:dyDescent="0.35">
      <c r="A4" s="100"/>
      <c r="B4" s="1">
        <v>22</v>
      </c>
      <c r="C4" s="1" t="s">
        <v>698</v>
      </c>
      <c r="D4" s="1" t="s">
        <v>698</v>
      </c>
      <c r="E4" s="1" t="s">
        <v>698</v>
      </c>
      <c r="F4" s="1" t="s">
        <v>698</v>
      </c>
      <c r="G4" s="1" t="s">
        <v>698</v>
      </c>
      <c r="H4" s="1" t="s">
        <v>698</v>
      </c>
      <c r="I4" s="1" t="s">
        <v>698</v>
      </c>
      <c r="J4" s="1">
        <f t="shared" si="0"/>
        <v>1</v>
      </c>
      <c r="L4" s="1" t="s">
        <v>723</v>
      </c>
      <c r="M4" s="7">
        <v>2</v>
      </c>
      <c r="N4" s="5" t="s">
        <v>151</v>
      </c>
      <c r="O4" s="3" t="s">
        <v>549</v>
      </c>
      <c r="P4" s="3" t="s">
        <v>14</v>
      </c>
      <c r="Q4" s="3">
        <v>1</v>
      </c>
      <c r="R4" s="43">
        <f>VLOOKUP('22'!O4,Malzemeler!C:D,2,0)</f>
        <v>40.708500000000001</v>
      </c>
      <c r="S4" s="43">
        <f t="shared" ref="S4:S66" si="1">+R4*Q4</f>
        <v>40.708500000000001</v>
      </c>
    </row>
    <row r="5" spans="1:19" x14ac:dyDescent="0.35">
      <c r="A5" s="100"/>
      <c r="B5" s="1">
        <v>22</v>
      </c>
      <c r="C5" s="1" t="s">
        <v>698</v>
      </c>
      <c r="D5" s="1" t="s">
        <v>698</v>
      </c>
      <c r="E5" s="1" t="s">
        <v>698</v>
      </c>
      <c r="F5" s="1" t="s">
        <v>698</v>
      </c>
      <c r="G5" s="1" t="s">
        <v>698</v>
      </c>
      <c r="H5" s="1" t="s">
        <v>698</v>
      </c>
      <c r="I5" s="1" t="s">
        <v>698</v>
      </c>
      <c r="J5" s="1">
        <f t="shared" si="0"/>
        <v>1</v>
      </c>
      <c r="L5" s="1" t="s">
        <v>723</v>
      </c>
      <c r="M5" s="7">
        <v>3</v>
      </c>
      <c r="N5" s="5" t="s">
        <v>206</v>
      </c>
      <c r="O5" s="3" t="s">
        <v>505</v>
      </c>
      <c r="P5" s="3" t="s">
        <v>14</v>
      </c>
      <c r="Q5" s="3">
        <v>1</v>
      </c>
      <c r="R5" s="43">
        <f>VLOOKUP('22'!O5,Malzemeler!C:D,2,0)</f>
        <v>18.8</v>
      </c>
      <c r="S5" s="43">
        <f t="shared" si="1"/>
        <v>18.8</v>
      </c>
    </row>
    <row r="6" spans="1:19" x14ac:dyDescent="0.35">
      <c r="A6" s="100"/>
      <c r="B6" s="1">
        <v>22</v>
      </c>
      <c r="C6" s="1" t="s">
        <v>698</v>
      </c>
      <c r="D6" s="1" t="s">
        <v>698</v>
      </c>
      <c r="E6" s="1" t="s">
        <v>698</v>
      </c>
      <c r="F6" s="1" t="s">
        <v>698</v>
      </c>
      <c r="G6" s="1" t="s">
        <v>698</v>
      </c>
      <c r="H6" s="1" t="s">
        <v>698</v>
      </c>
      <c r="I6" s="1" t="s">
        <v>698</v>
      </c>
      <c r="J6" s="1">
        <f t="shared" si="0"/>
        <v>1</v>
      </c>
      <c r="L6" s="1" t="s">
        <v>723</v>
      </c>
      <c r="M6" s="7">
        <v>4</v>
      </c>
      <c r="N6" s="5" t="s">
        <v>185</v>
      </c>
      <c r="O6" s="3" t="s">
        <v>511</v>
      </c>
      <c r="P6" s="3" t="s">
        <v>14</v>
      </c>
      <c r="Q6" s="3">
        <v>1</v>
      </c>
      <c r="R6" s="43">
        <f>VLOOKUP('22'!O6,Malzemeler!C:D,2,0)</f>
        <v>14.5</v>
      </c>
      <c r="S6" s="43">
        <f t="shared" si="1"/>
        <v>14.5</v>
      </c>
    </row>
    <row r="7" spans="1:19" x14ac:dyDescent="0.35">
      <c r="A7" s="100"/>
      <c r="B7" s="1">
        <v>22</v>
      </c>
      <c r="C7" s="1" t="s">
        <v>698</v>
      </c>
      <c r="D7" s="1" t="s">
        <v>698</v>
      </c>
      <c r="E7" s="1" t="s">
        <v>698</v>
      </c>
      <c r="F7" s="1" t="s">
        <v>698</v>
      </c>
      <c r="G7" s="1" t="s">
        <v>698</v>
      </c>
      <c r="H7" s="1" t="s">
        <v>698</v>
      </c>
      <c r="I7" s="1" t="s">
        <v>698</v>
      </c>
      <c r="J7" s="1">
        <f t="shared" si="0"/>
        <v>1</v>
      </c>
      <c r="L7" s="1" t="s">
        <v>723</v>
      </c>
      <c r="M7" s="7">
        <v>5</v>
      </c>
      <c r="N7" s="5" t="s">
        <v>186</v>
      </c>
      <c r="O7" s="3" t="s">
        <v>517</v>
      </c>
      <c r="P7" s="3" t="s">
        <v>14</v>
      </c>
      <c r="Q7" s="3">
        <v>1</v>
      </c>
      <c r="R7" s="43">
        <f>VLOOKUP('22'!O7,Malzemeler!C:D,2,0)</f>
        <v>19.5</v>
      </c>
      <c r="S7" s="43">
        <f t="shared" si="1"/>
        <v>19.5</v>
      </c>
    </row>
    <row r="8" spans="1:19" x14ac:dyDescent="0.35">
      <c r="A8" s="100"/>
      <c r="B8" s="1">
        <v>22</v>
      </c>
      <c r="C8" s="1" t="s">
        <v>698</v>
      </c>
      <c r="D8" s="1" t="s">
        <v>698</v>
      </c>
      <c r="E8" s="1" t="s">
        <v>698</v>
      </c>
      <c r="F8" s="1" t="s">
        <v>698</v>
      </c>
      <c r="G8" s="1" t="s">
        <v>698</v>
      </c>
      <c r="H8" s="1" t="s">
        <v>698</v>
      </c>
      <c r="I8" s="1" t="s">
        <v>698</v>
      </c>
      <c r="J8" s="1">
        <f t="shared" si="0"/>
        <v>1</v>
      </c>
      <c r="L8" s="1" t="s">
        <v>723</v>
      </c>
      <c r="M8" s="7">
        <v>6</v>
      </c>
      <c r="N8" s="5" t="s">
        <v>704</v>
      </c>
      <c r="O8" s="3" t="s">
        <v>705</v>
      </c>
      <c r="P8" s="3" t="s">
        <v>14</v>
      </c>
      <c r="Q8" s="3">
        <v>1</v>
      </c>
      <c r="R8" s="43">
        <f>VLOOKUP('22'!O8,Malzemeler!C:D,2,0)</f>
        <v>0</v>
      </c>
      <c r="S8" s="43">
        <f t="shared" si="1"/>
        <v>0</v>
      </c>
    </row>
    <row r="9" spans="1:19" x14ac:dyDescent="0.35">
      <c r="A9" s="100"/>
      <c r="B9" s="1">
        <v>22</v>
      </c>
      <c r="C9" s="1" t="s">
        <v>698</v>
      </c>
      <c r="D9" s="1" t="s">
        <v>698</v>
      </c>
      <c r="E9" s="1" t="s">
        <v>698</v>
      </c>
      <c r="F9" s="1" t="s">
        <v>698</v>
      </c>
      <c r="G9" s="1" t="s">
        <v>698</v>
      </c>
      <c r="H9" s="1" t="s">
        <v>698</v>
      </c>
      <c r="I9" s="1" t="s">
        <v>698</v>
      </c>
      <c r="J9" s="1">
        <f t="shared" si="0"/>
        <v>1</v>
      </c>
      <c r="L9" s="1" t="s">
        <v>723</v>
      </c>
      <c r="M9" s="7">
        <v>7</v>
      </c>
      <c r="N9" s="1" t="s">
        <v>276</v>
      </c>
      <c r="O9" s="3" t="s">
        <v>84</v>
      </c>
      <c r="P9" s="3" t="s">
        <v>14</v>
      </c>
      <c r="Q9" s="3">
        <v>2</v>
      </c>
      <c r="R9" s="43">
        <f>VLOOKUP('22'!O9,Malzemeler!C:D,2,0)</f>
        <v>7.85</v>
      </c>
      <c r="S9" s="43">
        <f t="shared" si="1"/>
        <v>15.7</v>
      </c>
    </row>
    <row r="10" spans="1:19" x14ac:dyDescent="0.35">
      <c r="A10" s="100"/>
      <c r="B10" s="1">
        <v>22</v>
      </c>
      <c r="C10" s="1" t="s">
        <v>698</v>
      </c>
      <c r="D10" s="1" t="s">
        <v>698</v>
      </c>
      <c r="E10" s="1" t="s">
        <v>698</v>
      </c>
      <c r="F10" s="1" t="s">
        <v>698</v>
      </c>
      <c r="G10" s="1" t="s">
        <v>698</v>
      </c>
      <c r="H10" s="1" t="s">
        <v>698</v>
      </c>
      <c r="I10" s="1" t="s">
        <v>698</v>
      </c>
      <c r="J10" s="1">
        <f t="shared" si="0"/>
        <v>1</v>
      </c>
      <c r="L10" s="1" t="s">
        <v>723</v>
      </c>
      <c r="M10" s="7">
        <v>8</v>
      </c>
      <c r="N10" s="5" t="s">
        <v>445</v>
      </c>
      <c r="O10" s="3" t="s">
        <v>354</v>
      </c>
      <c r="P10" s="3" t="s">
        <v>14</v>
      </c>
      <c r="Q10" s="3">
        <v>3</v>
      </c>
      <c r="R10" s="43">
        <f>VLOOKUP('22'!O10,Malzemeler!C:D,2,0)</f>
        <v>20.8</v>
      </c>
      <c r="S10" s="43">
        <f t="shared" si="1"/>
        <v>62.400000000000006</v>
      </c>
    </row>
    <row r="11" spans="1:19" x14ac:dyDescent="0.35">
      <c r="A11" s="100"/>
      <c r="B11" s="1">
        <v>22</v>
      </c>
      <c r="C11" s="1" t="s">
        <v>698</v>
      </c>
      <c r="D11" s="1" t="s">
        <v>698</v>
      </c>
      <c r="E11" s="1" t="s">
        <v>698</v>
      </c>
      <c r="F11" s="1" t="s">
        <v>698</v>
      </c>
      <c r="G11" s="1" t="s">
        <v>698</v>
      </c>
      <c r="H11" s="1" t="s">
        <v>698</v>
      </c>
      <c r="I11" s="1" t="s">
        <v>698</v>
      </c>
      <c r="J11" s="1">
        <f t="shared" si="0"/>
        <v>1</v>
      </c>
      <c r="L11" s="1" t="s">
        <v>723</v>
      </c>
      <c r="M11" s="7">
        <v>9</v>
      </c>
      <c r="N11" s="1" t="s">
        <v>278</v>
      </c>
      <c r="O11" s="3" t="s">
        <v>74</v>
      </c>
      <c r="P11" s="3" t="s">
        <v>14</v>
      </c>
      <c r="Q11" s="3">
        <v>2</v>
      </c>
      <c r="R11" s="43">
        <f>VLOOKUP('22'!O11,Malzemeler!C:D,2,0)</f>
        <v>16.149999999999999</v>
      </c>
      <c r="S11" s="43">
        <f t="shared" si="1"/>
        <v>32.299999999999997</v>
      </c>
    </row>
    <row r="12" spans="1:19" x14ac:dyDescent="0.35">
      <c r="A12" s="100"/>
      <c r="B12" s="1">
        <v>22</v>
      </c>
      <c r="C12" s="1" t="s">
        <v>698</v>
      </c>
      <c r="D12" s="1" t="s">
        <v>698</v>
      </c>
      <c r="E12" s="1" t="s">
        <v>698</v>
      </c>
      <c r="F12" s="1" t="s">
        <v>698</v>
      </c>
      <c r="G12" s="1" t="s">
        <v>698</v>
      </c>
      <c r="H12" s="1" t="s">
        <v>698</v>
      </c>
      <c r="I12" s="1" t="s">
        <v>698</v>
      </c>
      <c r="J12" s="1">
        <f t="shared" si="0"/>
        <v>1</v>
      </c>
      <c r="L12" s="1" t="s">
        <v>723</v>
      </c>
      <c r="M12" s="7">
        <v>10</v>
      </c>
      <c r="N12" s="1" t="s">
        <v>279</v>
      </c>
      <c r="O12" s="3" t="s">
        <v>280</v>
      </c>
      <c r="P12" s="3" t="s">
        <v>14</v>
      </c>
      <c r="Q12" s="3">
        <v>4</v>
      </c>
      <c r="R12" s="43">
        <f>VLOOKUP('22'!O12,Malzemeler!C:D,2,0)</f>
        <v>0.3</v>
      </c>
      <c r="S12" s="43">
        <f t="shared" si="1"/>
        <v>1.2</v>
      </c>
    </row>
    <row r="13" spans="1:19" x14ac:dyDescent="0.35">
      <c r="A13" s="100"/>
      <c r="B13" s="1">
        <v>22</v>
      </c>
      <c r="C13" s="1" t="s">
        <v>698</v>
      </c>
      <c r="D13" s="1" t="s">
        <v>698</v>
      </c>
      <c r="E13" s="1" t="s">
        <v>698</v>
      </c>
      <c r="F13" s="1" t="s">
        <v>698</v>
      </c>
      <c r="G13" s="1" t="s">
        <v>698</v>
      </c>
      <c r="H13" s="1" t="s">
        <v>698</v>
      </c>
      <c r="I13" s="1" t="s">
        <v>698</v>
      </c>
      <c r="J13" s="1">
        <f t="shared" si="0"/>
        <v>1</v>
      </c>
      <c r="L13" s="1" t="s">
        <v>723</v>
      </c>
      <c r="M13" s="7">
        <v>11</v>
      </c>
      <c r="N13" s="1" t="s">
        <v>355</v>
      </c>
      <c r="O13" s="3" t="s">
        <v>356</v>
      </c>
      <c r="P13" s="3" t="s">
        <v>135</v>
      </c>
      <c r="Q13" s="3">
        <v>2</v>
      </c>
      <c r="R13" s="43">
        <f>VLOOKUP('22'!O13,Malzemeler!C:D,2,0)</f>
        <v>0.3</v>
      </c>
      <c r="S13" s="43">
        <f t="shared" si="1"/>
        <v>0.6</v>
      </c>
    </row>
    <row r="14" spans="1:19" x14ac:dyDescent="0.35">
      <c r="A14" s="100"/>
      <c r="B14" s="1">
        <v>22</v>
      </c>
      <c r="C14" s="1" t="s">
        <v>698</v>
      </c>
      <c r="D14" s="1" t="s">
        <v>698</v>
      </c>
      <c r="E14" s="1" t="s">
        <v>698</v>
      </c>
      <c r="F14" s="1" t="s">
        <v>698</v>
      </c>
      <c r="G14" s="1" t="s">
        <v>698</v>
      </c>
      <c r="H14" s="1" t="s">
        <v>698</v>
      </c>
      <c r="I14" s="1" t="s">
        <v>698</v>
      </c>
      <c r="J14" s="1">
        <f t="shared" si="0"/>
        <v>1</v>
      </c>
      <c r="L14" s="1" t="s">
        <v>723</v>
      </c>
      <c r="M14" s="7">
        <v>12</v>
      </c>
      <c r="N14" s="1" t="s">
        <v>163</v>
      </c>
      <c r="O14" s="3" t="s">
        <v>166</v>
      </c>
      <c r="P14" s="3" t="s">
        <v>14</v>
      </c>
      <c r="Q14" s="3">
        <v>0.1</v>
      </c>
      <c r="R14" s="43">
        <f>VLOOKUP('22'!O14,Malzemeler!C:D,2,0)</f>
        <v>0.3</v>
      </c>
      <c r="S14" s="43">
        <f t="shared" si="1"/>
        <v>0.03</v>
      </c>
    </row>
    <row r="15" spans="1:19" x14ac:dyDescent="0.35">
      <c r="A15" s="100"/>
      <c r="B15" s="1">
        <v>22</v>
      </c>
      <c r="C15" s="1" t="s">
        <v>698</v>
      </c>
      <c r="D15" s="1" t="s">
        <v>698</v>
      </c>
      <c r="E15" s="1" t="s">
        <v>698</v>
      </c>
      <c r="F15" s="1" t="s">
        <v>698</v>
      </c>
      <c r="G15" s="1" t="s">
        <v>698</v>
      </c>
      <c r="H15" s="1" t="s">
        <v>698</v>
      </c>
      <c r="I15" s="1" t="s">
        <v>698</v>
      </c>
      <c r="J15" s="1">
        <f t="shared" si="0"/>
        <v>1</v>
      </c>
      <c r="L15" s="1" t="s">
        <v>723</v>
      </c>
      <c r="M15" s="7">
        <v>13</v>
      </c>
      <c r="N15" s="1" t="s">
        <v>281</v>
      </c>
      <c r="O15" s="3" t="s">
        <v>282</v>
      </c>
      <c r="P15" s="3" t="s">
        <v>14</v>
      </c>
      <c r="Q15" s="3">
        <v>2</v>
      </c>
      <c r="R15" s="43">
        <f>VLOOKUP('22'!O15,Malzemeler!C:D,2,0)</f>
        <v>0.95</v>
      </c>
      <c r="S15" s="43">
        <f t="shared" si="1"/>
        <v>1.9</v>
      </c>
    </row>
    <row r="16" spans="1:19" x14ac:dyDescent="0.35">
      <c r="A16" s="100"/>
      <c r="B16" s="1">
        <v>22</v>
      </c>
      <c r="C16" s="1" t="s">
        <v>698</v>
      </c>
      <c r="D16" s="1" t="s">
        <v>698</v>
      </c>
      <c r="E16" s="1" t="s">
        <v>698</v>
      </c>
      <c r="F16" s="1" t="s">
        <v>698</v>
      </c>
      <c r="G16" s="1" t="s">
        <v>698</v>
      </c>
      <c r="H16" s="1" t="s">
        <v>698</v>
      </c>
      <c r="I16" s="1" t="s">
        <v>698</v>
      </c>
      <c r="J16" s="1">
        <f t="shared" si="0"/>
        <v>1</v>
      </c>
      <c r="L16" s="1" t="s">
        <v>723</v>
      </c>
      <c r="M16" s="7">
        <v>14</v>
      </c>
      <c r="N16" s="1" t="s">
        <v>283</v>
      </c>
      <c r="O16" s="3" t="s">
        <v>284</v>
      </c>
      <c r="P16" s="3" t="s">
        <v>14</v>
      </c>
      <c r="Q16" s="3">
        <v>1</v>
      </c>
      <c r="R16" s="43">
        <f>VLOOKUP('22'!O16,Malzemeler!C:D,2,0)</f>
        <v>0.6</v>
      </c>
      <c r="S16" s="43">
        <f t="shared" si="1"/>
        <v>0.6</v>
      </c>
    </row>
    <row r="17" spans="1:19" x14ac:dyDescent="0.35">
      <c r="A17" s="100"/>
      <c r="B17" s="1">
        <v>22</v>
      </c>
      <c r="C17" s="1" t="s">
        <v>698</v>
      </c>
      <c r="D17" s="1" t="s">
        <v>698</v>
      </c>
      <c r="E17" s="1" t="s">
        <v>698</v>
      </c>
      <c r="F17" s="1" t="s">
        <v>698</v>
      </c>
      <c r="G17" s="1" t="s">
        <v>698</v>
      </c>
      <c r="H17" s="1" t="s">
        <v>698</v>
      </c>
      <c r="I17" s="1" t="s">
        <v>698</v>
      </c>
      <c r="J17" s="1">
        <f t="shared" si="0"/>
        <v>1</v>
      </c>
      <c r="L17" s="1" t="s">
        <v>723</v>
      </c>
      <c r="M17" s="7">
        <v>15</v>
      </c>
      <c r="N17" s="5" t="s">
        <v>87</v>
      </c>
      <c r="O17" s="3" t="s">
        <v>88</v>
      </c>
      <c r="P17" s="3" t="s">
        <v>14</v>
      </c>
      <c r="Q17" s="3">
        <v>0.3</v>
      </c>
      <c r="R17" s="43">
        <f>VLOOKUP('22'!O17,Malzemeler!C:D,2,0)</f>
        <v>1615.6</v>
      </c>
      <c r="S17" s="43">
        <f t="shared" si="1"/>
        <v>484.67999999999995</v>
      </c>
    </row>
    <row r="18" spans="1:19" x14ac:dyDescent="0.35">
      <c r="A18" s="100"/>
      <c r="B18" s="1">
        <v>22</v>
      </c>
      <c r="C18" s="1" t="s">
        <v>698</v>
      </c>
      <c r="D18" s="1" t="s">
        <v>698</v>
      </c>
      <c r="E18" s="1" t="s">
        <v>698</v>
      </c>
      <c r="F18" s="1" t="s">
        <v>698</v>
      </c>
      <c r="G18" s="1" t="s">
        <v>698</v>
      </c>
      <c r="H18" s="1" t="s">
        <v>698</v>
      </c>
      <c r="I18" s="1" t="s">
        <v>698</v>
      </c>
      <c r="J18" s="1">
        <f t="shared" si="0"/>
        <v>1</v>
      </c>
      <c r="L18" s="1" t="s">
        <v>723</v>
      </c>
      <c r="M18" s="7">
        <v>16</v>
      </c>
      <c r="N18" s="5" t="s">
        <v>69</v>
      </c>
      <c r="O18" s="3" t="s">
        <v>81</v>
      </c>
      <c r="P18" s="3" t="s">
        <v>14</v>
      </c>
      <c r="Q18" s="3">
        <v>0.3</v>
      </c>
      <c r="R18" s="43">
        <f>VLOOKUP('22'!O18,Malzemeler!C:D,2,0)</f>
        <v>40</v>
      </c>
      <c r="S18" s="43">
        <f t="shared" si="1"/>
        <v>12</v>
      </c>
    </row>
    <row r="19" spans="1:19" x14ac:dyDescent="0.35">
      <c r="A19" s="100"/>
      <c r="B19" s="1">
        <v>22</v>
      </c>
      <c r="C19" s="1" t="s">
        <v>698</v>
      </c>
      <c r="D19" s="1" t="s">
        <v>698</v>
      </c>
      <c r="E19" s="1" t="s">
        <v>698</v>
      </c>
      <c r="F19" s="1" t="s">
        <v>698</v>
      </c>
      <c r="G19" s="1" t="s">
        <v>698</v>
      </c>
      <c r="H19" s="1" t="s">
        <v>698</v>
      </c>
      <c r="I19" s="1" t="s">
        <v>698</v>
      </c>
      <c r="J19" s="1">
        <f t="shared" si="0"/>
        <v>1</v>
      </c>
      <c r="L19" s="1" t="s">
        <v>723</v>
      </c>
      <c r="M19" s="7">
        <v>17</v>
      </c>
      <c r="N19" s="5" t="s">
        <v>89</v>
      </c>
      <c r="O19" s="3" t="s">
        <v>75</v>
      </c>
      <c r="P19" s="3" t="s">
        <v>14</v>
      </c>
      <c r="Q19" s="3">
        <v>0.1</v>
      </c>
      <c r="R19" s="43">
        <f>VLOOKUP('22'!O19,Malzemeler!C:D,2,0)</f>
        <v>150</v>
      </c>
      <c r="S19" s="43">
        <f t="shared" si="1"/>
        <v>15</v>
      </c>
    </row>
    <row r="20" spans="1:19" x14ac:dyDescent="0.35">
      <c r="A20" s="100"/>
      <c r="B20" s="1">
        <v>22</v>
      </c>
      <c r="C20" s="1" t="s">
        <v>698</v>
      </c>
      <c r="D20" s="1" t="s">
        <v>698</v>
      </c>
      <c r="E20" s="1" t="s">
        <v>698</v>
      </c>
      <c r="F20" s="1" t="s">
        <v>698</v>
      </c>
      <c r="G20" s="1" t="s">
        <v>698</v>
      </c>
      <c r="H20" s="1" t="s">
        <v>698</v>
      </c>
      <c r="I20" s="1" t="s">
        <v>698</v>
      </c>
      <c r="J20" s="1">
        <f t="shared" si="0"/>
        <v>1</v>
      </c>
      <c r="L20" s="1" t="s">
        <v>723</v>
      </c>
      <c r="M20" s="7">
        <v>18</v>
      </c>
      <c r="N20" s="5" t="s">
        <v>66</v>
      </c>
      <c r="O20" s="3" t="s">
        <v>78</v>
      </c>
      <c r="P20" s="3" t="s">
        <v>14</v>
      </c>
      <c r="Q20" s="3">
        <v>0.8</v>
      </c>
      <c r="R20" s="43">
        <f>VLOOKUP('22'!O20,Malzemeler!C:D,2,0)</f>
        <v>30</v>
      </c>
      <c r="S20" s="43">
        <f t="shared" si="1"/>
        <v>24</v>
      </c>
    </row>
    <row r="21" spans="1:19" x14ac:dyDescent="0.35">
      <c r="A21" s="100"/>
      <c r="B21" s="1">
        <v>22</v>
      </c>
      <c r="C21" s="1" t="s">
        <v>698</v>
      </c>
      <c r="D21" s="1" t="s">
        <v>698</v>
      </c>
      <c r="E21" s="1" t="s">
        <v>698</v>
      </c>
      <c r="F21" s="1" t="s">
        <v>698</v>
      </c>
      <c r="G21" s="1" t="s">
        <v>698</v>
      </c>
      <c r="H21" s="1" t="s">
        <v>698</v>
      </c>
      <c r="I21" s="1" t="s">
        <v>698</v>
      </c>
      <c r="J21" s="1">
        <f t="shared" si="0"/>
        <v>1</v>
      </c>
      <c r="L21" s="1" t="s">
        <v>723</v>
      </c>
      <c r="M21" s="7">
        <v>19</v>
      </c>
      <c r="N21" s="5" t="s">
        <v>65</v>
      </c>
      <c r="O21" s="3" t="s">
        <v>77</v>
      </c>
      <c r="P21" s="3" t="s">
        <v>14</v>
      </c>
      <c r="Q21" s="2">
        <v>2</v>
      </c>
      <c r="R21" s="43">
        <f>VLOOKUP('22'!O21,Malzemeler!C:D,2,0)</f>
        <v>150</v>
      </c>
      <c r="S21" s="43">
        <f t="shared" si="1"/>
        <v>300</v>
      </c>
    </row>
    <row r="22" spans="1:19" x14ac:dyDescent="0.35">
      <c r="A22" s="100"/>
      <c r="B22" s="1">
        <v>22</v>
      </c>
      <c r="C22" s="1" t="s">
        <v>698</v>
      </c>
      <c r="D22" s="1" t="s">
        <v>698</v>
      </c>
      <c r="E22" s="1" t="s">
        <v>698</v>
      </c>
      <c r="F22" s="1" t="s">
        <v>698</v>
      </c>
      <c r="G22" s="1" t="s">
        <v>698</v>
      </c>
      <c r="H22" s="1" t="s">
        <v>698</v>
      </c>
      <c r="I22" s="1" t="s">
        <v>698</v>
      </c>
      <c r="J22" s="1">
        <f t="shared" si="0"/>
        <v>1</v>
      </c>
      <c r="L22" s="1" t="s">
        <v>723</v>
      </c>
      <c r="M22" s="7">
        <v>20</v>
      </c>
      <c r="N22" s="5" t="s">
        <v>215</v>
      </c>
      <c r="O22" s="3" t="s">
        <v>216</v>
      </c>
      <c r="P22" s="3" t="s">
        <v>14</v>
      </c>
      <c r="Q22" s="3">
        <v>1</v>
      </c>
      <c r="R22" s="43">
        <f>VLOOKUP('22'!O22,Malzemeler!C:D,2,0)</f>
        <v>618.9</v>
      </c>
      <c r="S22" s="43">
        <f t="shared" si="1"/>
        <v>618.9</v>
      </c>
    </row>
    <row r="23" spans="1:19" x14ac:dyDescent="0.35">
      <c r="A23" s="100"/>
      <c r="B23" s="1">
        <v>22</v>
      </c>
      <c r="C23" s="1" t="s">
        <v>698</v>
      </c>
      <c r="D23" s="1" t="s">
        <v>698</v>
      </c>
      <c r="E23" s="1" t="s">
        <v>698</v>
      </c>
      <c r="F23" s="1" t="s">
        <v>698</v>
      </c>
      <c r="G23" s="1" t="s">
        <v>698</v>
      </c>
      <c r="H23" s="1" t="s">
        <v>698</v>
      </c>
      <c r="I23" s="1" t="s">
        <v>698</v>
      </c>
      <c r="J23" s="1">
        <f t="shared" si="0"/>
        <v>1</v>
      </c>
      <c r="L23" s="1" t="s">
        <v>723</v>
      </c>
      <c r="M23" s="7">
        <v>21</v>
      </c>
      <c r="N23" s="5" t="s">
        <v>215</v>
      </c>
      <c r="O23" s="3" t="s">
        <v>216</v>
      </c>
      <c r="P23" s="3" t="s">
        <v>14</v>
      </c>
      <c r="Q23" s="3">
        <v>1</v>
      </c>
      <c r="R23" s="43">
        <f>VLOOKUP('22'!O23,Malzemeler!C:D,2,0)</f>
        <v>618.9</v>
      </c>
      <c r="S23" s="43">
        <f t="shared" si="1"/>
        <v>618.9</v>
      </c>
    </row>
    <row r="24" spans="1:19" x14ac:dyDescent="0.35">
      <c r="A24" s="100"/>
      <c r="B24" s="1">
        <v>22</v>
      </c>
      <c r="C24" s="1" t="s">
        <v>698</v>
      </c>
      <c r="D24" s="1" t="s">
        <v>698</v>
      </c>
      <c r="E24" s="1" t="s">
        <v>698</v>
      </c>
      <c r="F24" s="1" t="s">
        <v>698</v>
      </c>
      <c r="G24" s="1" t="s">
        <v>698</v>
      </c>
      <c r="H24" s="1" t="s">
        <v>698</v>
      </c>
      <c r="I24" s="1" t="s">
        <v>698</v>
      </c>
      <c r="J24" s="1">
        <f t="shared" si="0"/>
        <v>1</v>
      </c>
      <c r="L24" s="1" t="s">
        <v>723</v>
      </c>
      <c r="M24" s="7">
        <v>22</v>
      </c>
      <c r="N24" s="5" t="s">
        <v>207</v>
      </c>
      <c r="O24" s="3" t="s">
        <v>208</v>
      </c>
      <c r="P24" s="3" t="s">
        <v>14</v>
      </c>
      <c r="Q24" s="3">
        <v>1</v>
      </c>
      <c r="R24" s="43">
        <f>VLOOKUP('22'!O24,Malzemeler!C:D,2,0)</f>
        <v>1331.2</v>
      </c>
      <c r="S24" s="43">
        <f t="shared" si="1"/>
        <v>1331.2</v>
      </c>
    </row>
    <row r="25" spans="1:19" x14ac:dyDescent="0.35">
      <c r="A25" s="100"/>
      <c r="B25" s="1">
        <v>22</v>
      </c>
      <c r="C25" s="1" t="s">
        <v>572</v>
      </c>
      <c r="D25" s="1" t="s">
        <v>698</v>
      </c>
      <c r="E25" s="1" t="s">
        <v>698</v>
      </c>
      <c r="F25" s="1" t="s">
        <v>698</v>
      </c>
      <c r="G25" s="1" t="s">
        <v>698</v>
      </c>
      <c r="H25" s="1" t="s">
        <v>698</v>
      </c>
      <c r="I25" s="1" t="s">
        <v>698</v>
      </c>
      <c r="J25" s="1">
        <f t="shared" si="0"/>
        <v>1</v>
      </c>
      <c r="L25" s="1" t="s">
        <v>748</v>
      </c>
      <c r="M25" s="7">
        <v>23</v>
      </c>
      <c r="N25" s="1" t="s">
        <v>559</v>
      </c>
      <c r="O25" s="3" t="s">
        <v>192</v>
      </c>
      <c r="P25" s="3" t="s">
        <v>14</v>
      </c>
      <c r="Q25" s="3">
        <v>1</v>
      </c>
      <c r="R25" s="43">
        <f>VLOOKUP('22'!O25,Malzemeler!C:D,2,0)</f>
        <v>410</v>
      </c>
      <c r="S25" s="43">
        <f t="shared" si="1"/>
        <v>410</v>
      </c>
    </row>
    <row r="26" spans="1:19" x14ac:dyDescent="0.35">
      <c r="A26" s="100"/>
      <c r="B26" s="1">
        <v>22</v>
      </c>
      <c r="C26" s="1" t="s">
        <v>572</v>
      </c>
      <c r="D26" s="1" t="s">
        <v>698</v>
      </c>
      <c r="E26" s="1" t="s">
        <v>698</v>
      </c>
      <c r="F26" s="1" t="s">
        <v>698</v>
      </c>
      <c r="G26" s="1" t="s">
        <v>698</v>
      </c>
      <c r="H26" s="1" t="s">
        <v>698</v>
      </c>
      <c r="I26" s="1" t="s">
        <v>698</v>
      </c>
      <c r="J26" s="1">
        <f t="shared" si="0"/>
        <v>1</v>
      </c>
      <c r="L26" s="1" t="s">
        <v>748</v>
      </c>
      <c r="M26" s="7">
        <v>24</v>
      </c>
      <c r="N26" s="5" t="s">
        <v>209</v>
      </c>
      <c r="O26" s="3" t="s">
        <v>523</v>
      </c>
      <c r="P26" s="3" t="s">
        <v>14</v>
      </c>
      <c r="Q26" s="3">
        <v>1</v>
      </c>
      <c r="R26" s="43">
        <f>VLOOKUP('22'!O26,Malzemeler!C:D,2,0)</f>
        <v>1030</v>
      </c>
      <c r="S26" s="43">
        <f t="shared" si="1"/>
        <v>1030</v>
      </c>
    </row>
    <row r="27" spans="1:19" x14ac:dyDescent="0.35">
      <c r="A27" s="100"/>
      <c r="B27" s="1">
        <v>22</v>
      </c>
      <c r="C27" s="1" t="s">
        <v>572</v>
      </c>
      <c r="D27" s="1" t="s">
        <v>698</v>
      </c>
      <c r="E27" s="1" t="s">
        <v>698</v>
      </c>
      <c r="F27" s="1" t="s">
        <v>698</v>
      </c>
      <c r="G27" s="1" t="s">
        <v>698</v>
      </c>
      <c r="H27" s="1" t="s">
        <v>698</v>
      </c>
      <c r="I27" s="1" t="s">
        <v>698</v>
      </c>
      <c r="J27" s="1">
        <f t="shared" si="0"/>
        <v>1</v>
      </c>
      <c r="L27" s="1" t="s">
        <v>748</v>
      </c>
      <c r="M27" s="7">
        <v>25</v>
      </c>
      <c r="N27" s="5" t="s">
        <v>210</v>
      </c>
      <c r="O27" s="3" t="s">
        <v>532</v>
      </c>
      <c r="P27" s="3" t="s">
        <v>14</v>
      </c>
      <c r="Q27" s="3">
        <v>1</v>
      </c>
      <c r="R27" s="43">
        <f>VLOOKUP('22'!O27,Malzemeler!C:D,2,0)</f>
        <v>610</v>
      </c>
      <c r="S27" s="43">
        <f t="shared" si="1"/>
        <v>610</v>
      </c>
    </row>
    <row r="28" spans="1:19" x14ac:dyDescent="0.35">
      <c r="A28" s="100"/>
      <c r="B28" s="1">
        <v>22</v>
      </c>
      <c r="C28" s="1" t="s">
        <v>573</v>
      </c>
      <c r="D28" s="1" t="s">
        <v>698</v>
      </c>
      <c r="E28" s="1" t="s">
        <v>698</v>
      </c>
      <c r="F28" s="1" t="s">
        <v>698</v>
      </c>
      <c r="G28" s="1" t="s">
        <v>698</v>
      </c>
      <c r="H28" s="1" t="s">
        <v>698</v>
      </c>
      <c r="I28" s="1" t="s">
        <v>698</v>
      </c>
      <c r="J28" s="1">
        <f t="shared" ref="J28:J30" si="2">SUBTOTAL(103,B28)</f>
        <v>1</v>
      </c>
      <c r="L28" s="1" t="s">
        <v>749</v>
      </c>
      <c r="M28" s="7">
        <v>23</v>
      </c>
      <c r="N28" s="71" t="s">
        <v>559</v>
      </c>
      <c r="O28" s="72" t="s">
        <v>192</v>
      </c>
      <c r="P28" s="3" t="s">
        <v>14</v>
      </c>
      <c r="Q28" s="3">
        <v>1</v>
      </c>
      <c r="R28" s="43">
        <f>VLOOKUP('22'!O28,Malzemeler!C:D,2,0)</f>
        <v>410</v>
      </c>
      <c r="S28" s="43">
        <f t="shared" ref="S28:S30" si="3">+R28*Q28</f>
        <v>410</v>
      </c>
    </row>
    <row r="29" spans="1:19" x14ac:dyDescent="0.35">
      <c r="A29" s="100"/>
      <c r="B29" s="1">
        <v>22</v>
      </c>
      <c r="C29" s="1" t="s">
        <v>573</v>
      </c>
      <c r="D29" s="1" t="s">
        <v>698</v>
      </c>
      <c r="E29" s="1" t="s">
        <v>698</v>
      </c>
      <c r="F29" s="1" t="s">
        <v>698</v>
      </c>
      <c r="G29" s="1" t="s">
        <v>698</v>
      </c>
      <c r="H29" s="1" t="s">
        <v>698</v>
      </c>
      <c r="I29" s="1" t="s">
        <v>698</v>
      </c>
      <c r="J29" s="1">
        <f t="shared" si="2"/>
        <v>1</v>
      </c>
      <c r="L29" s="1" t="s">
        <v>749</v>
      </c>
      <c r="M29" s="7">
        <v>24</v>
      </c>
      <c r="N29" s="73" t="s">
        <v>209</v>
      </c>
      <c r="O29" s="72"/>
      <c r="P29" s="3" t="s">
        <v>14</v>
      </c>
      <c r="Q29" s="3">
        <v>1</v>
      </c>
      <c r="R29" s="43" t="e">
        <f>VLOOKUP('22'!O29,Malzemeler!C:D,2,0)</f>
        <v>#N/A</v>
      </c>
      <c r="S29" s="43" t="e">
        <f t="shared" si="3"/>
        <v>#N/A</v>
      </c>
    </row>
    <row r="30" spans="1:19" x14ac:dyDescent="0.35">
      <c r="A30" s="100"/>
      <c r="B30" s="1">
        <v>22</v>
      </c>
      <c r="C30" s="1" t="s">
        <v>573</v>
      </c>
      <c r="D30" s="1" t="s">
        <v>698</v>
      </c>
      <c r="E30" s="1" t="s">
        <v>698</v>
      </c>
      <c r="F30" s="1" t="s">
        <v>698</v>
      </c>
      <c r="G30" s="1" t="s">
        <v>698</v>
      </c>
      <c r="H30" s="1" t="s">
        <v>698</v>
      </c>
      <c r="I30" s="1" t="s">
        <v>698</v>
      </c>
      <c r="J30" s="1">
        <f t="shared" si="2"/>
        <v>1</v>
      </c>
      <c r="L30" s="1" t="s">
        <v>749</v>
      </c>
      <c r="M30" s="7">
        <v>25</v>
      </c>
      <c r="N30" s="73" t="s">
        <v>210</v>
      </c>
      <c r="O30" s="72"/>
      <c r="P30" s="3" t="s">
        <v>14</v>
      </c>
      <c r="Q30" s="3">
        <v>1</v>
      </c>
      <c r="R30" s="43" t="e">
        <f>VLOOKUP('22'!O30,Malzemeler!C:D,2,0)</f>
        <v>#N/A</v>
      </c>
      <c r="S30" s="43" t="e">
        <f t="shared" si="3"/>
        <v>#N/A</v>
      </c>
    </row>
    <row r="31" spans="1:19" x14ac:dyDescent="0.35">
      <c r="A31" s="100"/>
      <c r="B31" s="1">
        <v>22</v>
      </c>
      <c r="C31" s="1" t="s">
        <v>698</v>
      </c>
      <c r="D31" s="1" t="s">
        <v>698</v>
      </c>
      <c r="E31" s="1" t="s">
        <v>698</v>
      </c>
      <c r="F31" s="1" t="s">
        <v>698</v>
      </c>
      <c r="G31" s="1" t="s">
        <v>698</v>
      </c>
      <c r="H31" s="1" t="s">
        <v>698</v>
      </c>
      <c r="I31" s="1" t="s">
        <v>698</v>
      </c>
      <c r="J31" s="1">
        <f t="shared" si="0"/>
        <v>1</v>
      </c>
      <c r="L31" s="1" t="s">
        <v>723</v>
      </c>
      <c r="M31" s="7">
        <v>26</v>
      </c>
      <c r="N31" s="5" t="s">
        <v>633</v>
      </c>
      <c r="O31" s="3" t="s">
        <v>633</v>
      </c>
      <c r="P31" s="3" t="s">
        <v>14</v>
      </c>
      <c r="Q31" s="12">
        <v>8</v>
      </c>
      <c r="R31" s="43">
        <f>VLOOKUP('22'!O31,Malzemeler!C:D,2,0)</f>
        <v>0</v>
      </c>
      <c r="S31" s="43">
        <f t="shared" si="1"/>
        <v>0</v>
      </c>
    </row>
    <row r="32" spans="1:19" x14ac:dyDescent="0.35">
      <c r="A32" s="100"/>
      <c r="B32" s="1">
        <v>22</v>
      </c>
      <c r="C32" s="1" t="s">
        <v>698</v>
      </c>
      <c r="D32" s="1" t="s">
        <v>698</v>
      </c>
      <c r="E32" s="1" t="s">
        <v>698</v>
      </c>
      <c r="F32" s="1" t="s">
        <v>698</v>
      </c>
      <c r="G32" s="1" t="s">
        <v>698</v>
      </c>
      <c r="H32" s="1" t="s">
        <v>698</v>
      </c>
      <c r="I32" s="1" t="s">
        <v>698</v>
      </c>
      <c r="J32" s="1">
        <f t="shared" si="0"/>
        <v>1</v>
      </c>
      <c r="L32" s="1" t="s">
        <v>723</v>
      </c>
      <c r="M32" s="7">
        <v>27</v>
      </c>
      <c r="N32" s="5" t="s">
        <v>634</v>
      </c>
      <c r="O32" s="3" t="s">
        <v>634</v>
      </c>
      <c r="P32" s="3" t="s">
        <v>14</v>
      </c>
      <c r="Q32" s="12">
        <v>20</v>
      </c>
      <c r="R32" s="43">
        <f>VLOOKUP('22'!O32,Malzemeler!C:D,2,0)</f>
        <v>0</v>
      </c>
      <c r="S32" s="43">
        <f t="shared" si="1"/>
        <v>0</v>
      </c>
    </row>
    <row r="33" spans="1:19" x14ac:dyDescent="0.35">
      <c r="A33" s="100"/>
      <c r="B33" s="1">
        <v>22</v>
      </c>
      <c r="C33" s="1" t="s">
        <v>698</v>
      </c>
      <c r="D33" s="1" t="s">
        <v>698</v>
      </c>
      <c r="E33" s="1" t="s">
        <v>698</v>
      </c>
      <c r="F33" s="1" t="s">
        <v>698</v>
      </c>
      <c r="G33" s="1" t="s">
        <v>698</v>
      </c>
      <c r="H33" s="1" t="s">
        <v>698</v>
      </c>
      <c r="I33" s="1" t="s">
        <v>698</v>
      </c>
      <c r="J33" s="1">
        <f t="shared" si="0"/>
        <v>1</v>
      </c>
      <c r="L33" s="1" t="s">
        <v>723</v>
      </c>
      <c r="M33" s="7">
        <v>28</v>
      </c>
      <c r="N33" s="5" t="s">
        <v>635</v>
      </c>
      <c r="O33" s="3" t="s">
        <v>635</v>
      </c>
      <c r="P33" s="3" t="s">
        <v>14</v>
      </c>
      <c r="Q33" s="12">
        <v>14</v>
      </c>
      <c r="R33" s="43">
        <f>VLOOKUP('22'!O33,Malzemeler!C:D,2,0)</f>
        <v>0</v>
      </c>
      <c r="S33" s="43">
        <f t="shared" si="1"/>
        <v>0</v>
      </c>
    </row>
    <row r="34" spans="1:19" x14ac:dyDescent="0.35">
      <c r="A34" s="100"/>
      <c r="B34" s="1">
        <v>22</v>
      </c>
      <c r="C34" s="1" t="s">
        <v>698</v>
      </c>
      <c r="D34" s="1" t="s">
        <v>698</v>
      </c>
      <c r="E34" s="1" t="s">
        <v>698</v>
      </c>
      <c r="F34" s="1" t="s">
        <v>698</v>
      </c>
      <c r="G34" s="1" t="s">
        <v>698</v>
      </c>
      <c r="H34" s="1" t="s">
        <v>698</v>
      </c>
      <c r="I34" s="1" t="s">
        <v>698</v>
      </c>
      <c r="J34" s="1">
        <f t="shared" si="0"/>
        <v>1</v>
      </c>
      <c r="L34" s="1" t="s">
        <v>723</v>
      </c>
      <c r="M34" s="7">
        <v>29</v>
      </c>
      <c r="N34" s="5" t="s">
        <v>636</v>
      </c>
      <c r="O34" s="3" t="s">
        <v>636</v>
      </c>
      <c r="P34" s="3" t="s">
        <v>14</v>
      </c>
      <c r="Q34" s="12">
        <v>8</v>
      </c>
      <c r="R34" s="43">
        <f>VLOOKUP('22'!O34,Malzemeler!C:D,2,0)</f>
        <v>0</v>
      </c>
      <c r="S34" s="43">
        <f t="shared" si="1"/>
        <v>0</v>
      </c>
    </row>
    <row r="35" spans="1:19" x14ac:dyDescent="0.35">
      <c r="A35" s="100"/>
      <c r="B35" s="1">
        <v>22</v>
      </c>
      <c r="C35" s="1" t="s">
        <v>698</v>
      </c>
      <c r="D35" s="1" t="s">
        <v>698</v>
      </c>
      <c r="E35" s="1" t="s">
        <v>698</v>
      </c>
      <c r="F35" s="1" t="s">
        <v>698</v>
      </c>
      <c r="G35" s="1" t="s">
        <v>698</v>
      </c>
      <c r="H35" s="1" t="s">
        <v>698</v>
      </c>
      <c r="I35" s="1" t="s">
        <v>698</v>
      </c>
      <c r="J35" s="1">
        <f t="shared" si="0"/>
        <v>1</v>
      </c>
      <c r="L35" s="1" t="s">
        <v>723</v>
      </c>
      <c r="M35" s="7">
        <v>30</v>
      </c>
      <c r="N35" s="5" t="s">
        <v>221</v>
      </c>
      <c r="O35" s="3" t="s">
        <v>222</v>
      </c>
      <c r="P35" s="3" t="s">
        <v>14</v>
      </c>
      <c r="Q35" s="12">
        <v>803.10991999999999</v>
      </c>
      <c r="R35" s="43">
        <f>VLOOKUP('22'!O35,Malzemeler!C:D,2,0)</f>
        <v>1.07</v>
      </c>
      <c r="S35" s="43">
        <f t="shared" si="1"/>
        <v>859.32761440000002</v>
      </c>
    </row>
    <row r="36" spans="1:19" x14ac:dyDescent="0.35">
      <c r="A36" s="100"/>
      <c r="B36" s="1">
        <v>22</v>
      </c>
      <c r="C36" s="1" t="s">
        <v>698</v>
      </c>
      <c r="D36" s="1" t="s">
        <v>698</v>
      </c>
      <c r="E36" s="1" t="s">
        <v>698</v>
      </c>
      <c r="F36" s="1" t="s">
        <v>698</v>
      </c>
      <c r="G36" s="1" t="s">
        <v>698</v>
      </c>
      <c r="H36" s="1" t="s">
        <v>698</v>
      </c>
      <c r="I36" s="1" t="s">
        <v>698</v>
      </c>
      <c r="J36" s="1">
        <f t="shared" si="0"/>
        <v>1</v>
      </c>
      <c r="L36" s="1" t="s">
        <v>723</v>
      </c>
      <c r="M36" s="7">
        <v>31</v>
      </c>
      <c r="N36" s="5" t="s">
        <v>637</v>
      </c>
      <c r="O36" s="3" t="s">
        <v>655</v>
      </c>
      <c r="P36" s="3" t="s">
        <v>14</v>
      </c>
      <c r="Q36" s="12">
        <v>6.0111999999999997</v>
      </c>
      <c r="R36" s="43">
        <f>VLOOKUP('22'!O36,Malzemeler!C:D,2,0)</f>
        <v>0</v>
      </c>
      <c r="S36" s="43">
        <f t="shared" si="1"/>
        <v>0</v>
      </c>
    </row>
    <row r="37" spans="1:19" x14ac:dyDescent="0.35">
      <c r="A37" s="100"/>
      <c r="B37" s="1">
        <v>22</v>
      </c>
      <c r="C37" s="1" t="s">
        <v>698</v>
      </c>
      <c r="D37" s="1" t="s">
        <v>698</v>
      </c>
      <c r="E37" s="1" t="s">
        <v>698</v>
      </c>
      <c r="F37" s="1" t="s">
        <v>698</v>
      </c>
      <c r="G37" s="1" t="s">
        <v>698</v>
      </c>
      <c r="H37" s="1" t="s">
        <v>698</v>
      </c>
      <c r="I37" s="1" t="s">
        <v>698</v>
      </c>
      <c r="J37" s="1">
        <f t="shared" si="0"/>
        <v>1</v>
      </c>
      <c r="L37" s="1" t="s">
        <v>723</v>
      </c>
      <c r="M37" s="7">
        <v>32</v>
      </c>
      <c r="N37" s="5" t="s">
        <v>223</v>
      </c>
      <c r="O37" s="3" t="s">
        <v>224</v>
      </c>
      <c r="P37" s="3" t="s">
        <v>14</v>
      </c>
      <c r="Q37" s="12">
        <v>10.036799999999999</v>
      </c>
      <c r="R37" s="43">
        <f>VLOOKUP('22'!O37,Malzemeler!C:D,2,0)</f>
        <v>1.23</v>
      </c>
      <c r="S37" s="43">
        <f t="shared" si="1"/>
        <v>12.345263999999998</v>
      </c>
    </row>
    <row r="38" spans="1:19" x14ac:dyDescent="0.35">
      <c r="A38" s="100"/>
      <c r="B38" s="1">
        <v>22</v>
      </c>
      <c r="C38" s="1" t="s">
        <v>698</v>
      </c>
      <c r="D38" s="1" t="s">
        <v>698</v>
      </c>
      <c r="E38" s="1" t="s">
        <v>698</v>
      </c>
      <c r="F38" s="1" t="s">
        <v>698</v>
      </c>
      <c r="G38" s="1" t="s">
        <v>698</v>
      </c>
      <c r="H38" s="1" t="s">
        <v>698</v>
      </c>
      <c r="I38" s="1" t="s">
        <v>698</v>
      </c>
      <c r="J38" s="1">
        <f t="shared" ref="J38:J121" si="4">SUBTOTAL(103,B38)</f>
        <v>1</v>
      </c>
      <c r="L38" s="1" t="s">
        <v>723</v>
      </c>
      <c r="M38" s="7">
        <v>33</v>
      </c>
      <c r="N38" s="5" t="s">
        <v>227</v>
      </c>
      <c r="O38" s="3" t="s">
        <v>97</v>
      </c>
      <c r="P38" s="3" t="s">
        <v>14</v>
      </c>
      <c r="Q38" s="12">
        <v>87.398887680000001</v>
      </c>
      <c r="R38" s="43">
        <f>VLOOKUP('22'!O38,Malzemeler!C:D,2,0)</f>
        <v>0.8</v>
      </c>
      <c r="S38" s="43">
        <f t="shared" si="1"/>
        <v>69.919110144000001</v>
      </c>
    </row>
    <row r="39" spans="1:19" x14ac:dyDescent="0.35">
      <c r="A39" s="100"/>
      <c r="B39" s="1">
        <v>22</v>
      </c>
      <c r="C39" s="1" t="s">
        <v>698</v>
      </c>
      <c r="D39" s="1" t="s">
        <v>698</v>
      </c>
      <c r="E39" s="1" t="s">
        <v>698</v>
      </c>
      <c r="F39" s="1" t="s">
        <v>698</v>
      </c>
      <c r="G39" s="1" t="s">
        <v>698</v>
      </c>
      <c r="H39" s="1" t="s">
        <v>698</v>
      </c>
      <c r="I39" s="1" t="s">
        <v>698</v>
      </c>
      <c r="J39" s="1">
        <f t="shared" si="4"/>
        <v>1</v>
      </c>
      <c r="L39" s="1" t="s">
        <v>723</v>
      </c>
      <c r="M39" s="7">
        <v>34</v>
      </c>
      <c r="N39" s="5" t="s">
        <v>228</v>
      </c>
      <c r="O39" s="3" t="s">
        <v>229</v>
      </c>
      <c r="P39" s="3" t="s">
        <v>14</v>
      </c>
      <c r="Q39" s="12">
        <v>197.10072000000002</v>
      </c>
      <c r="R39" s="43">
        <f>VLOOKUP('22'!O39,Malzemeler!C:D,2,0)</f>
        <v>0.79</v>
      </c>
      <c r="S39" s="43">
        <f t="shared" si="1"/>
        <v>155.70956880000003</v>
      </c>
    </row>
    <row r="40" spans="1:19" x14ac:dyDescent="0.35">
      <c r="A40" s="100"/>
      <c r="B40" s="1">
        <v>22</v>
      </c>
      <c r="C40" s="1" t="s">
        <v>698</v>
      </c>
      <c r="D40" s="1" t="s">
        <v>698</v>
      </c>
      <c r="E40" s="1" t="s">
        <v>698</v>
      </c>
      <c r="F40" s="1" t="s">
        <v>698</v>
      </c>
      <c r="G40" s="1" t="s">
        <v>698</v>
      </c>
      <c r="H40" s="1" t="s">
        <v>698</v>
      </c>
      <c r="I40" s="1" t="s">
        <v>698</v>
      </c>
      <c r="J40" s="1">
        <f t="shared" si="4"/>
        <v>1</v>
      </c>
      <c r="L40" s="1" t="s">
        <v>723</v>
      </c>
      <c r="M40" s="7">
        <v>35</v>
      </c>
      <c r="N40" s="5" t="s">
        <v>438</v>
      </c>
      <c r="O40" s="3" t="s">
        <v>231</v>
      </c>
      <c r="P40" s="3" t="s">
        <v>14</v>
      </c>
      <c r="Q40" s="12">
        <v>33.311042604800001</v>
      </c>
      <c r="R40" s="43">
        <f>VLOOKUP('22'!O40,Malzemeler!C:D,2,0)</f>
        <v>0.85</v>
      </c>
      <c r="S40" s="43">
        <f t="shared" si="1"/>
        <v>28.314386214079999</v>
      </c>
    </row>
    <row r="41" spans="1:19" x14ac:dyDescent="0.35">
      <c r="A41" s="100"/>
      <c r="B41" s="1">
        <v>22</v>
      </c>
      <c r="C41" s="1" t="s">
        <v>698</v>
      </c>
      <c r="D41" s="1" t="s">
        <v>698</v>
      </c>
      <c r="E41" s="1" t="s">
        <v>698</v>
      </c>
      <c r="F41" s="1" t="s">
        <v>698</v>
      </c>
      <c r="G41" s="1" t="s">
        <v>698</v>
      </c>
      <c r="H41" s="1" t="s">
        <v>698</v>
      </c>
      <c r="I41" s="1" t="s">
        <v>698</v>
      </c>
      <c r="J41" s="1">
        <f t="shared" si="4"/>
        <v>1</v>
      </c>
      <c r="L41" s="1" t="s">
        <v>723</v>
      </c>
      <c r="M41" s="7">
        <v>36</v>
      </c>
      <c r="N41" s="5" t="s">
        <v>234</v>
      </c>
      <c r="O41" s="3" t="s">
        <v>235</v>
      </c>
      <c r="P41" s="3" t="s">
        <v>14</v>
      </c>
      <c r="Q41" s="12">
        <v>24.525449999999999</v>
      </c>
      <c r="R41" s="43">
        <f>VLOOKUP('22'!O41,Malzemeler!C:D,2,0)</f>
        <v>2.3199999999999998</v>
      </c>
      <c r="S41" s="43">
        <f t="shared" si="1"/>
        <v>56.899043999999996</v>
      </c>
    </row>
    <row r="42" spans="1:19" x14ac:dyDescent="0.35">
      <c r="A42" s="100"/>
      <c r="B42" s="1">
        <v>22</v>
      </c>
      <c r="C42" s="1" t="s">
        <v>698</v>
      </c>
      <c r="D42" s="1" t="s">
        <v>698</v>
      </c>
      <c r="E42" s="1" t="s">
        <v>698</v>
      </c>
      <c r="F42" s="1" t="s">
        <v>698</v>
      </c>
      <c r="G42" s="1" t="s">
        <v>698</v>
      </c>
      <c r="H42" s="1" t="s">
        <v>698</v>
      </c>
      <c r="I42" s="1" t="s">
        <v>698</v>
      </c>
      <c r="J42" s="1">
        <f t="shared" si="4"/>
        <v>1</v>
      </c>
      <c r="L42" s="1" t="s">
        <v>723</v>
      </c>
      <c r="M42" s="7">
        <v>37</v>
      </c>
      <c r="N42" s="5" t="s">
        <v>638</v>
      </c>
      <c r="O42" s="3" t="s">
        <v>656</v>
      </c>
      <c r="P42" s="3" t="s">
        <v>14</v>
      </c>
      <c r="Q42" s="12">
        <v>5.3856000000000002</v>
      </c>
      <c r="R42" s="43">
        <f>VLOOKUP('22'!O42,Malzemeler!C:D,2,0)</f>
        <v>0</v>
      </c>
      <c r="S42" s="43">
        <f t="shared" si="1"/>
        <v>0</v>
      </c>
    </row>
    <row r="43" spans="1:19" x14ac:dyDescent="0.35">
      <c r="A43" s="100"/>
      <c r="B43" s="1">
        <v>22</v>
      </c>
      <c r="C43" s="1" t="s">
        <v>698</v>
      </c>
      <c r="D43" s="1" t="s">
        <v>698</v>
      </c>
      <c r="E43" s="1" t="s">
        <v>698</v>
      </c>
      <c r="F43" s="1" t="s">
        <v>698</v>
      </c>
      <c r="G43" s="1" t="s">
        <v>698</v>
      </c>
      <c r="H43" s="1" t="s">
        <v>698</v>
      </c>
      <c r="I43" s="1" t="s">
        <v>698</v>
      </c>
      <c r="J43" s="1">
        <f t="shared" si="4"/>
        <v>1</v>
      </c>
      <c r="L43" s="1" t="s">
        <v>723</v>
      </c>
      <c r="M43" s="7">
        <v>38</v>
      </c>
      <c r="N43" s="5" t="s">
        <v>90</v>
      </c>
      <c r="O43" s="3" t="s">
        <v>91</v>
      </c>
      <c r="P43" s="3" t="s">
        <v>14</v>
      </c>
      <c r="Q43" s="12">
        <v>30.8066</v>
      </c>
      <c r="R43" s="43">
        <f>VLOOKUP('22'!O43,Malzemeler!C:D,2,0)</f>
        <v>1.27</v>
      </c>
      <c r="S43" s="43">
        <f t="shared" si="1"/>
        <v>39.124381999999997</v>
      </c>
    </row>
    <row r="44" spans="1:19" x14ac:dyDescent="0.35">
      <c r="A44" s="100"/>
      <c r="B44" s="1">
        <v>22</v>
      </c>
      <c r="C44" s="1" t="s">
        <v>698</v>
      </c>
      <c r="D44" s="1" t="s">
        <v>698</v>
      </c>
      <c r="E44" s="1" t="s">
        <v>698</v>
      </c>
      <c r="F44" s="1" t="s">
        <v>698</v>
      </c>
      <c r="G44" s="1" t="s">
        <v>698</v>
      </c>
      <c r="H44" s="1" t="s">
        <v>698</v>
      </c>
      <c r="I44" s="1" t="s">
        <v>698</v>
      </c>
      <c r="J44" s="1">
        <f t="shared" si="4"/>
        <v>1</v>
      </c>
      <c r="L44" s="1" t="s">
        <v>723</v>
      </c>
      <c r="M44" s="7">
        <v>39</v>
      </c>
      <c r="N44" s="5" t="s">
        <v>92</v>
      </c>
      <c r="O44" s="3" t="s">
        <v>93</v>
      </c>
      <c r="P44" s="3" t="s">
        <v>14</v>
      </c>
      <c r="Q44" s="12">
        <v>12.381599999999999</v>
      </c>
      <c r="R44" s="43">
        <f>VLOOKUP('22'!O44,Malzemeler!C:D,2,0)</f>
        <v>1.74</v>
      </c>
      <c r="S44" s="43">
        <f t="shared" si="1"/>
        <v>21.543983999999998</v>
      </c>
    </row>
    <row r="45" spans="1:19" x14ac:dyDescent="0.35">
      <c r="A45" s="100"/>
      <c r="B45" s="1">
        <v>22</v>
      </c>
      <c r="C45" s="1" t="s">
        <v>698</v>
      </c>
      <c r="D45" s="1" t="s">
        <v>698</v>
      </c>
      <c r="E45" s="1" t="s">
        <v>698</v>
      </c>
      <c r="F45" s="1" t="s">
        <v>698</v>
      </c>
      <c r="G45" s="1" t="s">
        <v>698</v>
      </c>
      <c r="H45" s="1" t="s">
        <v>698</v>
      </c>
      <c r="I45" s="1" t="s">
        <v>698</v>
      </c>
      <c r="J45" s="1">
        <f t="shared" si="4"/>
        <v>1</v>
      </c>
      <c r="L45" s="1" t="s">
        <v>723</v>
      </c>
      <c r="M45" s="7">
        <v>40</v>
      </c>
      <c r="N45" s="5" t="s">
        <v>238</v>
      </c>
      <c r="O45" s="3" t="s">
        <v>239</v>
      </c>
      <c r="P45" s="3" t="s">
        <v>14</v>
      </c>
      <c r="Q45" s="12">
        <v>42.098099999999995</v>
      </c>
      <c r="R45" s="43">
        <f>VLOOKUP('22'!O45,Malzemeler!C:D,2,0)</f>
        <v>1.95</v>
      </c>
      <c r="S45" s="43">
        <f t="shared" si="1"/>
        <v>82.091294999999988</v>
      </c>
    </row>
    <row r="46" spans="1:19" x14ac:dyDescent="0.35">
      <c r="A46" s="100"/>
      <c r="B46" s="1">
        <v>22</v>
      </c>
      <c r="C46" s="1" t="s">
        <v>698</v>
      </c>
      <c r="D46" s="1" t="s">
        <v>698</v>
      </c>
      <c r="E46" s="1" t="s">
        <v>698</v>
      </c>
      <c r="F46" s="1" t="s">
        <v>698</v>
      </c>
      <c r="G46" s="1" t="s">
        <v>698</v>
      </c>
      <c r="H46" s="1" t="s">
        <v>698</v>
      </c>
      <c r="I46" s="1" t="s">
        <v>698</v>
      </c>
      <c r="J46" s="1">
        <f t="shared" si="4"/>
        <v>1</v>
      </c>
      <c r="L46" s="1" t="s">
        <v>723</v>
      </c>
      <c r="M46" s="7">
        <v>41</v>
      </c>
      <c r="N46" s="5" t="s">
        <v>240</v>
      </c>
      <c r="O46" s="3" t="s">
        <v>241</v>
      </c>
      <c r="P46" s="3" t="s">
        <v>14</v>
      </c>
      <c r="Q46" s="12">
        <v>31.988</v>
      </c>
      <c r="R46" s="43">
        <f>VLOOKUP('22'!O46,Malzemeler!C:D,2,0)</f>
        <v>4.4000000000000004</v>
      </c>
      <c r="S46" s="43">
        <f t="shared" si="1"/>
        <v>140.74720000000002</v>
      </c>
    </row>
    <row r="47" spans="1:19" x14ac:dyDescent="0.35">
      <c r="A47" s="100"/>
      <c r="B47" s="1">
        <v>22</v>
      </c>
      <c r="C47" s="1" t="s">
        <v>698</v>
      </c>
      <c r="D47" s="1" t="s">
        <v>698</v>
      </c>
      <c r="E47" s="1" t="s">
        <v>698</v>
      </c>
      <c r="F47" s="1" t="s">
        <v>698</v>
      </c>
      <c r="G47" s="1" t="s">
        <v>698</v>
      </c>
      <c r="H47" s="1" t="s">
        <v>698</v>
      </c>
      <c r="I47" s="1" t="s">
        <v>698</v>
      </c>
      <c r="J47" s="1">
        <f t="shared" si="4"/>
        <v>1</v>
      </c>
      <c r="L47" s="1" t="s">
        <v>723</v>
      </c>
      <c r="M47" s="7">
        <v>42</v>
      </c>
      <c r="N47" s="5" t="s">
        <v>242</v>
      </c>
      <c r="O47" s="3" t="s">
        <v>243</v>
      </c>
      <c r="P47" s="3" t="s">
        <v>14</v>
      </c>
      <c r="Q47" s="12">
        <v>11.776599999999998</v>
      </c>
      <c r="R47" s="43">
        <f>VLOOKUP('22'!O47,Malzemeler!C:D,2,0)</f>
        <v>4.4000000000000004</v>
      </c>
      <c r="S47" s="43">
        <f t="shared" si="1"/>
        <v>51.817039999999999</v>
      </c>
    </row>
    <row r="48" spans="1:19" x14ac:dyDescent="0.35">
      <c r="A48" s="100"/>
      <c r="B48" s="1">
        <v>22</v>
      </c>
      <c r="C48" s="1" t="s">
        <v>698</v>
      </c>
      <c r="D48" s="1" t="s">
        <v>698</v>
      </c>
      <c r="E48" s="1" t="s">
        <v>698</v>
      </c>
      <c r="F48" s="1" t="s">
        <v>698</v>
      </c>
      <c r="G48" s="1" t="s">
        <v>698</v>
      </c>
      <c r="H48" s="1" t="s">
        <v>698</v>
      </c>
      <c r="I48" s="1" t="s">
        <v>698</v>
      </c>
      <c r="J48" s="1">
        <f t="shared" si="4"/>
        <v>1</v>
      </c>
      <c r="L48" s="1" t="s">
        <v>723</v>
      </c>
      <c r="M48" s="7">
        <v>43</v>
      </c>
      <c r="N48" s="5" t="s">
        <v>244</v>
      </c>
      <c r="O48" s="3" t="s">
        <v>245</v>
      </c>
      <c r="P48" s="3" t="s">
        <v>14</v>
      </c>
      <c r="Q48" s="12">
        <v>7.4139999999999997</v>
      </c>
      <c r="R48" s="43">
        <f>VLOOKUP('22'!O48,Malzemeler!C:D,2,0)</f>
        <v>4.4000000000000004</v>
      </c>
      <c r="S48" s="43">
        <f t="shared" si="1"/>
        <v>32.621600000000001</v>
      </c>
    </row>
    <row r="49" spans="1:19" x14ac:dyDescent="0.35">
      <c r="A49" s="100"/>
      <c r="B49" s="1">
        <v>22</v>
      </c>
      <c r="C49" s="1" t="s">
        <v>698</v>
      </c>
      <c r="D49" s="1" t="s">
        <v>698</v>
      </c>
      <c r="E49" s="1" t="s">
        <v>698</v>
      </c>
      <c r="F49" s="1" t="s">
        <v>698</v>
      </c>
      <c r="G49" s="1" t="s">
        <v>698</v>
      </c>
      <c r="H49" s="1" t="s">
        <v>698</v>
      </c>
      <c r="I49" s="1" t="s">
        <v>698</v>
      </c>
      <c r="J49" s="1">
        <f t="shared" si="4"/>
        <v>1</v>
      </c>
      <c r="L49" s="1" t="s">
        <v>723</v>
      </c>
      <c r="M49" s="7">
        <v>44</v>
      </c>
      <c r="N49" s="5" t="s">
        <v>246</v>
      </c>
      <c r="O49" s="3" t="s">
        <v>247</v>
      </c>
      <c r="P49" s="3" t="s">
        <v>14</v>
      </c>
      <c r="Q49" s="12">
        <v>6.2281999999999993</v>
      </c>
      <c r="R49" s="43">
        <f>VLOOKUP('22'!O49,Malzemeler!C:D,2,0)</f>
        <v>4.4000000000000004</v>
      </c>
      <c r="S49" s="43">
        <f t="shared" si="1"/>
        <v>27.40408</v>
      </c>
    </row>
    <row r="50" spans="1:19" x14ac:dyDescent="0.35">
      <c r="A50" s="100"/>
      <c r="B50" s="1">
        <v>22</v>
      </c>
      <c r="C50" s="1" t="s">
        <v>698</v>
      </c>
      <c r="D50" s="1" t="s">
        <v>698</v>
      </c>
      <c r="E50" s="1" t="s">
        <v>698</v>
      </c>
      <c r="F50" s="1" t="s">
        <v>698</v>
      </c>
      <c r="G50" s="1" t="s">
        <v>698</v>
      </c>
      <c r="H50" s="1" t="s">
        <v>698</v>
      </c>
      <c r="I50" s="1" t="s">
        <v>698</v>
      </c>
      <c r="J50" s="1">
        <f t="shared" si="4"/>
        <v>1</v>
      </c>
      <c r="L50" s="1" t="s">
        <v>723</v>
      </c>
      <c r="M50" s="7">
        <v>45</v>
      </c>
      <c r="N50" s="5" t="s">
        <v>248</v>
      </c>
      <c r="O50" s="3" t="s">
        <v>249</v>
      </c>
      <c r="P50" s="3" t="s">
        <v>14</v>
      </c>
      <c r="Q50" s="12">
        <v>33.435600000000001</v>
      </c>
      <c r="R50" s="43">
        <f>VLOOKUP('22'!O50,Malzemeler!C:D,2,0)</f>
        <v>2.36</v>
      </c>
      <c r="S50" s="43">
        <f t="shared" si="1"/>
        <v>78.908016000000003</v>
      </c>
    </row>
    <row r="51" spans="1:19" x14ac:dyDescent="0.35">
      <c r="A51" s="100"/>
      <c r="B51" s="1">
        <v>22</v>
      </c>
      <c r="C51" s="1" t="s">
        <v>698</v>
      </c>
      <c r="D51" s="1" t="s">
        <v>698</v>
      </c>
      <c r="E51" s="1" t="s">
        <v>698</v>
      </c>
      <c r="F51" s="1" t="s">
        <v>698</v>
      </c>
      <c r="G51" s="1" t="s">
        <v>698</v>
      </c>
      <c r="H51" s="1" t="s">
        <v>698</v>
      </c>
      <c r="I51" s="1" t="s">
        <v>698</v>
      </c>
      <c r="J51" s="1">
        <f t="shared" si="4"/>
        <v>1</v>
      </c>
      <c r="L51" s="1" t="s">
        <v>723</v>
      </c>
      <c r="M51" s="7">
        <v>46</v>
      </c>
      <c r="N51" s="5" t="s">
        <v>250</v>
      </c>
      <c r="O51" s="3" t="s">
        <v>251</v>
      </c>
      <c r="P51" s="3" t="s">
        <v>14</v>
      </c>
      <c r="Q51" s="12">
        <v>3.8109999999999999</v>
      </c>
      <c r="R51" s="43">
        <f>VLOOKUP('22'!O51,Malzemeler!C:D,2,0)</f>
        <v>1.88</v>
      </c>
      <c r="S51" s="43">
        <f t="shared" si="1"/>
        <v>7.1646799999999997</v>
      </c>
    </row>
    <row r="52" spans="1:19" x14ac:dyDescent="0.35">
      <c r="A52" s="100"/>
      <c r="B52" s="1">
        <v>22</v>
      </c>
      <c r="C52" s="1" t="s">
        <v>698</v>
      </c>
      <c r="D52" s="1" t="s">
        <v>698</v>
      </c>
      <c r="E52" s="1" t="s">
        <v>698</v>
      </c>
      <c r="F52" s="1" t="s">
        <v>698</v>
      </c>
      <c r="G52" s="1" t="s">
        <v>698</v>
      </c>
      <c r="H52" s="1" t="s">
        <v>698</v>
      </c>
      <c r="I52" s="1" t="s">
        <v>698</v>
      </c>
      <c r="J52" s="1">
        <f t="shared" si="4"/>
        <v>1</v>
      </c>
      <c r="L52" s="1" t="s">
        <v>723</v>
      </c>
      <c r="M52" s="7">
        <v>47</v>
      </c>
      <c r="N52" s="5" t="s">
        <v>254</v>
      </c>
      <c r="O52" s="3" t="s">
        <v>255</v>
      </c>
      <c r="P52" s="3" t="s">
        <v>14</v>
      </c>
      <c r="Q52" s="12">
        <v>4.3032000000000004</v>
      </c>
      <c r="R52" s="43">
        <f>VLOOKUP('22'!O52,Malzemeler!C:D,2,0)</f>
        <v>0.76</v>
      </c>
      <c r="S52" s="43">
        <f t="shared" si="1"/>
        <v>3.2704320000000004</v>
      </c>
    </row>
    <row r="53" spans="1:19" x14ac:dyDescent="0.35">
      <c r="A53" s="100"/>
      <c r="B53" s="1">
        <v>22</v>
      </c>
      <c r="C53" s="1" t="s">
        <v>698</v>
      </c>
      <c r="D53" s="1" t="s">
        <v>698</v>
      </c>
      <c r="E53" s="1" t="s">
        <v>698</v>
      </c>
      <c r="F53" s="1" t="s">
        <v>698</v>
      </c>
      <c r="G53" s="1" t="s">
        <v>698</v>
      </c>
      <c r="H53" s="1" t="s">
        <v>698</v>
      </c>
      <c r="I53" s="1" t="s">
        <v>698</v>
      </c>
      <c r="J53" s="1">
        <f t="shared" si="4"/>
        <v>1</v>
      </c>
      <c r="L53" s="1" t="s">
        <v>723</v>
      </c>
      <c r="M53" s="7">
        <v>48</v>
      </c>
      <c r="N53" s="5" t="s">
        <v>256</v>
      </c>
      <c r="O53" s="3" t="s">
        <v>257</v>
      </c>
      <c r="P53" s="3" t="s">
        <v>14</v>
      </c>
      <c r="Q53" s="12">
        <v>17.8706</v>
      </c>
      <c r="R53" s="43">
        <f>VLOOKUP('22'!O53,Malzemeler!C:D,2,0)</f>
        <v>0.7</v>
      </c>
      <c r="S53" s="43">
        <f t="shared" si="1"/>
        <v>12.509419999999999</v>
      </c>
    </row>
    <row r="54" spans="1:19" x14ac:dyDescent="0.35">
      <c r="A54" s="100"/>
      <c r="B54" s="1">
        <v>22</v>
      </c>
      <c r="C54" s="1" t="s">
        <v>698</v>
      </c>
      <c r="D54" s="1" t="s">
        <v>698</v>
      </c>
      <c r="E54" s="1" t="s">
        <v>698</v>
      </c>
      <c r="F54" s="1" t="s">
        <v>698</v>
      </c>
      <c r="G54" s="1" t="s">
        <v>698</v>
      </c>
      <c r="H54" s="1" t="s">
        <v>698</v>
      </c>
      <c r="I54" s="1" t="s">
        <v>698</v>
      </c>
      <c r="J54" s="1">
        <f t="shared" si="4"/>
        <v>1</v>
      </c>
      <c r="L54" s="1" t="s">
        <v>723</v>
      </c>
      <c r="M54" s="7">
        <v>49</v>
      </c>
      <c r="N54" s="5" t="s">
        <v>110</v>
      </c>
      <c r="O54" s="3" t="s">
        <v>111</v>
      </c>
      <c r="P54" s="3" t="s">
        <v>14</v>
      </c>
      <c r="Q54" s="12">
        <v>176.1848</v>
      </c>
      <c r="R54" s="43">
        <f>VLOOKUP('22'!O54,Malzemeler!C:D,2,0)</f>
        <v>1.1200000000000001</v>
      </c>
      <c r="S54" s="43">
        <f t="shared" si="1"/>
        <v>197.326976</v>
      </c>
    </row>
    <row r="55" spans="1:19" x14ac:dyDescent="0.35">
      <c r="A55" s="100"/>
      <c r="B55" s="1">
        <v>22</v>
      </c>
      <c r="C55" s="1" t="s">
        <v>698</v>
      </c>
      <c r="D55" s="1" t="s">
        <v>698</v>
      </c>
      <c r="E55" s="1" t="s">
        <v>698</v>
      </c>
      <c r="F55" s="1" t="s">
        <v>698</v>
      </c>
      <c r="G55" s="1" t="s">
        <v>698</v>
      </c>
      <c r="H55" s="1" t="s">
        <v>698</v>
      </c>
      <c r="I55" s="1" t="s">
        <v>698</v>
      </c>
      <c r="J55" s="1">
        <f t="shared" si="4"/>
        <v>1</v>
      </c>
      <c r="L55" s="1" t="s">
        <v>723</v>
      </c>
      <c r="M55" s="7">
        <v>50</v>
      </c>
      <c r="N55" s="5" t="s">
        <v>258</v>
      </c>
      <c r="O55" s="3" t="s">
        <v>157</v>
      </c>
      <c r="P55" s="3" t="s">
        <v>14</v>
      </c>
      <c r="Q55" s="12">
        <v>39.003999999999998</v>
      </c>
      <c r="R55" s="43">
        <f>VLOOKUP('22'!O55,Malzemeler!C:D,2,0)</f>
        <v>3</v>
      </c>
      <c r="S55" s="43">
        <f t="shared" si="1"/>
        <v>117.012</v>
      </c>
    </row>
    <row r="56" spans="1:19" x14ac:dyDescent="0.35">
      <c r="A56" s="100"/>
      <c r="B56" s="1">
        <v>22</v>
      </c>
      <c r="C56" s="1" t="s">
        <v>698</v>
      </c>
      <c r="D56" s="1" t="s">
        <v>698</v>
      </c>
      <c r="E56" s="1" t="s">
        <v>698</v>
      </c>
      <c r="F56" s="1" t="s">
        <v>698</v>
      </c>
      <c r="G56" s="1" t="s">
        <v>698</v>
      </c>
      <c r="H56" s="1" t="s">
        <v>698</v>
      </c>
      <c r="I56" s="1" t="s">
        <v>698</v>
      </c>
      <c r="J56" s="1">
        <f t="shared" si="4"/>
        <v>1</v>
      </c>
      <c r="L56" s="1" t="s">
        <v>723</v>
      </c>
      <c r="M56" s="7">
        <v>51</v>
      </c>
      <c r="N56" s="5" t="s">
        <v>259</v>
      </c>
      <c r="O56" s="3" t="s">
        <v>260</v>
      </c>
      <c r="P56" s="3" t="s">
        <v>14</v>
      </c>
      <c r="Q56" s="12">
        <v>6.4160000000000004</v>
      </c>
      <c r="R56" s="43">
        <f>VLOOKUP('22'!O56,Malzemeler!C:D,2,0)</f>
        <v>3</v>
      </c>
      <c r="S56" s="43">
        <f t="shared" si="1"/>
        <v>19.248000000000001</v>
      </c>
    </row>
    <row r="57" spans="1:19" x14ac:dyDescent="0.35">
      <c r="A57" s="100"/>
      <c r="B57" s="1">
        <v>22</v>
      </c>
      <c r="C57" s="1" t="s">
        <v>698</v>
      </c>
      <c r="D57" s="1" t="s">
        <v>698</v>
      </c>
      <c r="E57" s="1" t="s">
        <v>698</v>
      </c>
      <c r="F57" s="1" t="s">
        <v>698</v>
      </c>
      <c r="G57" s="1" t="s">
        <v>698</v>
      </c>
      <c r="H57" s="1" t="s">
        <v>698</v>
      </c>
      <c r="I57" s="1" t="s">
        <v>698</v>
      </c>
      <c r="J57" s="1">
        <f t="shared" si="4"/>
        <v>1</v>
      </c>
      <c r="L57" s="1" t="s">
        <v>723</v>
      </c>
      <c r="M57" s="7">
        <v>52</v>
      </c>
      <c r="N57" s="5" t="s">
        <v>639</v>
      </c>
      <c r="O57" s="3" t="s">
        <v>657</v>
      </c>
      <c r="P57" s="3" t="s">
        <v>14</v>
      </c>
      <c r="Q57" s="12">
        <v>48</v>
      </c>
      <c r="R57" s="43">
        <f>VLOOKUP('22'!O57,Malzemeler!C:D,2,0)</f>
        <v>0</v>
      </c>
      <c r="S57" s="43">
        <f t="shared" si="1"/>
        <v>0</v>
      </c>
    </row>
    <row r="58" spans="1:19" x14ac:dyDescent="0.35">
      <c r="A58" s="100"/>
      <c r="B58" s="1">
        <v>22</v>
      </c>
      <c r="C58" s="1" t="s">
        <v>698</v>
      </c>
      <c r="D58" s="1" t="s">
        <v>698</v>
      </c>
      <c r="E58" s="1" t="s">
        <v>698</v>
      </c>
      <c r="F58" s="1" t="s">
        <v>698</v>
      </c>
      <c r="G58" s="1" t="s">
        <v>698</v>
      </c>
      <c r="H58" s="1" t="s">
        <v>698</v>
      </c>
      <c r="I58" s="1" t="s">
        <v>698</v>
      </c>
      <c r="J58" s="1">
        <f t="shared" si="4"/>
        <v>1</v>
      </c>
      <c r="L58" s="1" t="s">
        <v>723</v>
      </c>
      <c r="M58" s="7">
        <v>53</v>
      </c>
      <c r="N58" s="5" t="s">
        <v>640</v>
      </c>
      <c r="O58" s="3" t="s">
        <v>658</v>
      </c>
      <c r="P58" s="3" t="s">
        <v>14</v>
      </c>
      <c r="Q58" s="12">
        <v>12</v>
      </c>
      <c r="R58" s="43">
        <f>VLOOKUP('22'!O58,Malzemeler!C:D,2,0)</f>
        <v>0</v>
      </c>
      <c r="S58" s="43">
        <f t="shared" si="1"/>
        <v>0</v>
      </c>
    </row>
    <row r="59" spans="1:19" x14ac:dyDescent="0.35">
      <c r="A59" s="100"/>
      <c r="B59" s="1">
        <v>22</v>
      </c>
      <c r="C59" s="1" t="s">
        <v>698</v>
      </c>
      <c r="D59" s="1" t="s">
        <v>698</v>
      </c>
      <c r="E59" s="1" t="s">
        <v>698</v>
      </c>
      <c r="F59" s="1" t="s">
        <v>698</v>
      </c>
      <c r="G59" s="1" t="s">
        <v>698</v>
      </c>
      <c r="H59" s="1" t="s">
        <v>698</v>
      </c>
      <c r="I59" s="1" t="s">
        <v>698</v>
      </c>
      <c r="J59" s="1">
        <f t="shared" si="4"/>
        <v>1</v>
      </c>
      <c r="L59" s="1" t="s">
        <v>723</v>
      </c>
      <c r="M59" s="7">
        <v>54</v>
      </c>
      <c r="N59" s="5" t="s">
        <v>641</v>
      </c>
      <c r="O59" s="3" t="s">
        <v>659</v>
      </c>
      <c r="P59" s="3" t="s">
        <v>14</v>
      </c>
      <c r="Q59" s="12">
        <v>12</v>
      </c>
      <c r="R59" s="43">
        <f>VLOOKUP('22'!O59,Malzemeler!C:D,2,0)</f>
        <v>0</v>
      </c>
      <c r="S59" s="43">
        <f t="shared" si="1"/>
        <v>0</v>
      </c>
    </row>
    <row r="60" spans="1:19" x14ac:dyDescent="0.35">
      <c r="A60" s="100"/>
      <c r="B60" s="1">
        <v>22</v>
      </c>
      <c r="C60" s="1" t="s">
        <v>698</v>
      </c>
      <c r="D60" s="1" t="s">
        <v>698</v>
      </c>
      <c r="E60" s="1" t="s">
        <v>698</v>
      </c>
      <c r="F60" s="1" t="s">
        <v>698</v>
      </c>
      <c r="G60" s="1" t="s">
        <v>698</v>
      </c>
      <c r="H60" s="1" t="s">
        <v>698</v>
      </c>
      <c r="I60" s="1" t="s">
        <v>698</v>
      </c>
      <c r="J60" s="1">
        <f t="shared" si="4"/>
        <v>1</v>
      </c>
      <c r="L60" s="1" t="s">
        <v>723</v>
      </c>
      <c r="M60" s="7">
        <v>55</v>
      </c>
      <c r="N60" s="5" t="s">
        <v>266</v>
      </c>
      <c r="O60" s="3" t="s">
        <v>267</v>
      </c>
      <c r="P60" s="3" t="s">
        <v>14</v>
      </c>
      <c r="Q60" s="12">
        <v>8</v>
      </c>
      <c r="R60" s="43">
        <f>VLOOKUP('22'!O60,Malzemeler!C:D,2,0)</f>
        <v>3.4609999999999999</v>
      </c>
      <c r="S60" s="43">
        <f t="shared" si="1"/>
        <v>27.687999999999999</v>
      </c>
    </row>
    <row r="61" spans="1:19" x14ac:dyDescent="0.35">
      <c r="A61" s="100"/>
      <c r="B61" s="1">
        <v>22</v>
      </c>
      <c r="C61" s="1" t="s">
        <v>698</v>
      </c>
      <c r="D61" s="1" t="s">
        <v>698</v>
      </c>
      <c r="E61" s="1" t="s">
        <v>698</v>
      </c>
      <c r="F61" s="1" t="s">
        <v>698</v>
      </c>
      <c r="G61" s="1" t="s">
        <v>698</v>
      </c>
      <c r="H61" s="1" t="s">
        <v>698</v>
      </c>
      <c r="I61" s="1" t="s">
        <v>698</v>
      </c>
      <c r="J61" s="1">
        <f t="shared" si="4"/>
        <v>1</v>
      </c>
      <c r="L61" s="1" t="s">
        <v>723</v>
      </c>
      <c r="M61" s="7">
        <v>56</v>
      </c>
      <c r="N61" s="5" t="s">
        <v>268</v>
      </c>
      <c r="O61" s="3" t="s">
        <v>269</v>
      </c>
      <c r="P61" s="3" t="s">
        <v>14</v>
      </c>
      <c r="Q61" s="12">
        <v>8</v>
      </c>
      <c r="R61" s="43">
        <f>VLOOKUP('22'!O61,Malzemeler!C:D,2,0)</f>
        <v>3.2450000000000001</v>
      </c>
      <c r="S61" s="43">
        <f t="shared" si="1"/>
        <v>25.96</v>
      </c>
    </row>
    <row r="62" spans="1:19" x14ac:dyDescent="0.35">
      <c r="A62" s="100"/>
      <c r="B62" s="1">
        <v>22</v>
      </c>
      <c r="C62" s="1" t="s">
        <v>698</v>
      </c>
      <c r="D62" s="1" t="s">
        <v>698</v>
      </c>
      <c r="E62" s="1" t="s">
        <v>698</v>
      </c>
      <c r="F62" s="1" t="s">
        <v>698</v>
      </c>
      <c r="G62" s="1" t="s">
        <v>698</v>
      </c>
      <c r="H62" s="1" t="s">
        <v>698</v>
      </c>
      <c r="I62" s="1" t="s">
        <v>698</v>
      </c>
      <c r="J62" s="1">
        <f t="shared" si="4"/>
        <v>1</v>
      </c>
      <c r="L62" s="1" t="s">
        <v>723</v>
      </c>
      <c r="M62" s="7">
        <v>57</v>
      </c>
      <c r="N62" s="5" t="s">
        <v>642</v>
      </c>
      <c r="O62" s="3" t="s">
        <v>660</v>
      </c>
      <c r="P62" s="3" t="s">
        <v>14</v>
      </c>
      <c r="Q62" s="12">
        <v>28</v>
      </c>
      <c r="R62" s="43">
        <f>VLOOKUP('22'!O62,Malzemeler!C:D,2,0)</f>
        <v>0</v>
      </c>
      <c r="S62" s="43">
        <f t="shared" si="1"/>
        <v>0</v>
      </c>
    </row>
    <row r="63" spans="1:19" x14ac:dyDescent="0.35">
      <c r="A63" s="100"/>
      <c r="B63" s="1">
        <v>22</v>
      </c>
      <c r="C63" s="1" t="s">
        <v>698</v>
      </c>
      <c r="D63" s="1" t="s">
        <v>698</v>
      </c>
      <c r="E63" s="1" t="s">
        <v>698</v>
      </c>
      <c r="F63" s="1" t="s">
        <v>698</v>
      </c>
      <c r="G63" s="1" t="s">
        <v>698</v>
      </c>
      <c r="H63" s="1" t="s">
        <v>698</v>
      </c>
      <c r="I63" s="1" t="s">
        <v>698</v>
      </c>
      <c r="J63" s="1">
        <f t="shared" si="4"/>
        <v>1</v>
      </c>
      <c r="L63" s="1" t="s">
        <v>723</v>
      </c>
      <c r="M63" s="7">
        <v>58</v>
      </c>
      <c r="N63" s="5" t="s">
        <v>270</v>
      </c>
      <c r="O63" s="3" t="s">
        <v>271</v>
      </c>
      <c r="P63" s="3" t="s">
        <v>14</v>
      </c>
      <c r="Q63" s="12">
        <v>1</v>
      </c>
      <c r="R63" s="43">
        <f>VLOOKUP('22'!O63,Malzemeler!C:D,2,0)</f>
        <v>4.93</v>
      </c>
      <c r="S63" s="43">
        <f t="shared" si="1"/>
        <v>4.93</v>
      </c>
    </row>
    <row r="64" spans="1:19" x14ac:dyDescent="0.35">
      <c r="A64" s="100"/>
      <c r="B64" s="1">
        <v>22</v>
      </c>
      <c r="C64" s="1" t="s">
        <v>698</v>
      </c>
      <c r="D64" s="1" t="s">
        <v>698</v>
      </c>
      <c r="E64" s="1" t="s">
        <v>698</v>
      </c>
      <c r="F64" s="1" t="s">
        <v>698</v>
      </c>
      <c r="G64" s="1" t="s">
        <v>698</v>
      </c>
      <c r="H64" s="1" t="s">
        <v>698</v>
      </c>
      <c r="I64" s="1" t="s">
        <v>698</v>
      </c>
      <c r="J64" s="1">
        <f t="shared" si="4"/>
        <v>1</v>
      </c>
      <c r="L64" s="1" t="s">
        <v>723</v>
      </c>
      <c r="M64" s="7">
        <v>59</v>
      </c>
      <c r="N64" s="5" t="s">
        <v>272</v>
      </c>
      <c r="O64" s="3" t="s">
        <v>273</v>
      </c>
      <c r="P64" s="3" t="s">
        <v>14</v>
      </c>
      <c r="Q64" s="12">
        <v>12</v>
      </c>
      <c r="R64" s="43">
        <f>VLOOKUP('22'!O64,Malzemeler!C:D,2,0)</f>
        <v>1</v>
      </c>
      <c r="S64" s="43">
        <f t="shared" si="1"/>
        <v>12</v>
      </c>
    </row>
    <row r="65" spans="1:19" x14ac:dyDescent="0.35">
      <c r="A65" s="100"/>
      <c r="B65" s="1">
        <v>22</v>
      </c>
      <c r="C65" s="1" t="s">
        <v>698</v>
      </c>
      <c r="D65" s="1" t="s">
        <v>698</v>
      </c>
      <c r="E65" s="1" t="s">
        <v>698</v>
      </c>
      <c r="F65" s="1" t="s">
        <v>698</v>
      </c>
      <c r="G65" s="1" t="s">
        <v>698</v>
      </c>
      <c r="H65" s="1" t="s">
        <v>698</v>
      </c>
      <c r="I65" s="1" t="s">
        <v>698</v>
      </c>
      <c r="J65" s="1">
        <f t="shared" si="4"/>
        <v>1</v>
      </c>
      <c r="L65" s="1" t="s">
        <v>723</v>
      </c>
      <c r="M65" s="7">
        <v>60</v>
      </c>
      <c r="N65" s="5" t="s">
        <v>274</v>
      </c>
      <c r="O65" s="3" t="s">
        <v>275</v>
      </c>
      <c r="P65" s="3" t="s">
        <v>14</v>
      </c>
      <c r="Q65" s="12">
        <v>2</v>
      </c>
      <c r="R65" s="43">
        <f>VLOOKUP('22'!O65,Malzemeler!C:D,2,0)</f>
        <v>6.3</v>
      </c>
      <c r="S65" s="43">
        <f t="shared" si="1"/>
        <v>12.6</v>
      </c>
    </row>
    <row r="66" spans="1:19" x14ac:dyDescent="0.35">
      <c r="A66" s="100"/>
      <c r="B66" s="1">
        <v>22</v>
      </c>
      <c r="C66" s="1" t="s">
        <v>698</v>
      </c>
      <c r="D66" s="1" t="s">
        <v>698</v>
      </c>
      <c r="E66" s="1" t="s">
        <v>698</v>
      </c>
      <c r="F66" s="1" t="s">
        <v>698</v>
      </c>
      <c r="G66" s="1" t="s">
        <v>698</v>
      </c>
      <c r="H66" s="1" t="s">
        <v>698</v>
      </c>
      <c r="I66" s="1" t="s">
        <v>698</v>
      </c>
      <c r="J66" s="1">
        <f t="shared" si="4"/>
        <v>1</v>
      </c>
      <c r="L66" s="1" t="s">
        <v>723</v>
      </c>
      <c r="M66" s="7">
        <v>61</v>
      </c>
      <c r="N66" s="5" t="s">
        <v>643</v>
      </c>
      <c r="O66" s="3" t="s">
        <v>661</v>
      </c>
      <c r="P66" s="3" t="s">
        <v>14</v>
      </c>
      <c r="Q66" s="12">
        <v>5.68</v>
      </c>
      <c r="R66" s="43">
        <f>VLOOKUP('22'!O66,Malzemeler!C:D,2,0)</f>
        <v>0</v>
      </c>
      <c r="S66" s="43">
        <f t="shared" si="1"/>
        <v>0</v>
      </c>
    </row>
    <row r="67" spans="1:19" x14ac:dyDescent="0.35">
      <c r="A67" s="100"/>
      <c r="B67" s="1">
        <v>22</v>
      </c>
      <c r="C67" s="1" t="s">
        <v>698</v>
      </c>
      <c r="D67" s="1" t="s">
        <v>698</v>
      </c>
      <c r="E67" s="1" t="s">
        <v>698</v>
      </c>
      <c r="F67" s="1" t="s">
        <v>698</v>
      </c>
      <c r="G67" s="1" t="s">
        <v>698</v>
      </c>
      <c r="H67" s="1" t="s">
        <v>698</v>
      </c>
      <c r="I67" s="1" t="s">
        <v>698</v>
      </c>
      <c r="J67" s="1">
        <f t="shared" si="4"/>
        <v>1</v>
      </c>
      <c r="L67" s="1" t="s">
        <v>723</v>
      </c>
      <c r="M67" s="7">
        <v>62</v>
      </c>
      <c r="N67" s="5" t="s">
        <v>313</v>
      </c>
      <c r="O67" s="3" t="s">
        <v>314</v>
      </c>
      <c r="P67" s="3" t="s">
        <v>14</v>
      </c>
      <c r="Q67" s="12">
        <v>30.395999999999997</v>
      </c>
      <c r="R67" s="43">
        <f>VLOOKUP('22'!O67,Malzemeler!C:D,2,0)</f>
        <v>1.1399999999999999</v>
      </c>
      <c r="S67" s="43">
        <f t="shared" ref="S67:S132" si="5">+R67*Q67</f>
        <v>34.651439999999994</v>
      </c>
    </row>
    <row r="68" spans="1:19" x14ac:dyDescent="0.35">
      <c r="A68" s="100"/>
      <c r="B68" s="1">
        <v>22</v>
      </c>
      <c r="C68" s="1" t="s">
        <v>698</v>
      </c>
      <c r="D68" s="1" t="s">
        <v>698</v>
      </c>
      <c r="E68" s="1" t="s">
        <v>698</v>
      </c>
      <c r="F68" s="1" t="s">
        <v>698</v>
      </c>
      <c r="G68" s="1" t="s">
        <v>698</v>
      </c>
      <c r="H68" s="1" t="s">
        <v>698</v>
      </c>
      <c r="I68" s="1" t="s">
        <v>698</v>
      </c>
      <c r="J68" s="1">
        <f t="shared" si="4"/>
        <v>1</v>
      </c>
      <c r="L68" s="1" t="s">
        <v>723</v>
      </c>
      <c r="M68" s="7">
        <v>63</v>
      </c>
      <c r="N68" s="5" t="s">
        <v>315</v>
      </c>
      <c r="O68" s="3" t="s">
        <v>316</v>
      </c>
      <c r="P68" s="3" t="s">
        <v>14</v>
      </c>
      <c r="Q68" s="12">
        <v>51.767231999999993</v>
      </c>
      <c r="R68" s="43">
        <f>VLOOKUP('22'!O68,Malzemeler!C:D,2,0)</f>
        <v>0.35</v>
      </c>
      <c r="S68" s="43">
        <f t="shared" si="5"/>
        <v>18.118531199999996</v>
      </c>
    </row>
    <row r="69" spans="1:19" x14ac:dyDescent="0.35">
      <c r="A69" s="100"/>
      <c r="B69" s="1">
        <v>22</v>
      </c>
      <c r="C69" s="1" t="s">
        <v>698</v>
      </c>
      <c r="D69" s="1" t="s">
        <v>698</v>
      </c>
      <c r="E69" s="1" t="s">
        <v>698</v>
      </c>
      <c r="F69" s="1" t="s">
        <v>698</v>
      </c>
      <c r="G69" s="1" t="s">
        <v>698</v>
      </c>
      <c r="H69" s="1" t="s">
        <v>698</v>
      </c>
      <c r="I69" s="1" t="s">
        <v>698</v>
      </c>
      <c r="J69" s="1">
        <f t="shared" si="4"/>
        <v>1</v>
      </c>
      <c r="L69" s="1" t="s">
        <v>723</v>
      </c>
      <c r="M69" s="7">
        <v>64</v>
      </c>
      <c r="N69" s="5" t="s">
        <v>317</v>
      </c>
      <c r="O69" s="3" t="s">
        <v>318</v>
      </c>
      <c r="P69" s="3" t="s">
        <v>14</v>
      </c>
      <c r="Q69" s="12">
        <v>36.668456000000006</v>
      </c>
      <c r="R69" s="43">
        <f>VLOOKUP('22'!O69,Malzemeler!C:D,2,0)</f>
        <v>0.35</v>
      </c>
      <c r="S69" s="43">
        <f t="shared" si="5"/>
        <v>12.833959600000002</v>
      </c>
    </row>
    <row r="70" spans="1:19" x14ac:dyDescent="0.35">
      <c r="A70" s="100"/>
      <c r="B70" s="1">
        <v>22</v>
      </c>
      <c r="C70" s="1" t="s">
        <v>698</v>
      </c>
      <c r="D70" s="1" t="s">
        <v>698</v>
      </c>
      <c r="E70" s="1" t="s">
        <v>698</v>
      </c>
      <c r="F70" s="1" t="s">
        <v>698</v>
      </c>
      <c r="G70" s="1" t="s">
        <v>698</v>
      </c>
      <c r="H70" s="1" t="s">
        <v>698</v>
      </c>
      <c r="I70" s="1" t="s">
        <v>698</v>
      </c>
      <c r="J70" s="1">
        <f t="shared" si="4"/>
        <v>1</v>
      </c>
      <c r="L70" s="1" t="s">
        <v>723</v>
      </c>
      <c r="M70" s="7">
        <v>65</v>
      </c>
      <c r="N70" s="5" t="s">
        <v>319</v>
      </c>
      <c r="O70" s="3" t="s">
        <v>320</v>
      </c>
      <c r="P70" s="3" t="s">
        <v>14</v>
      </c>
      <c r="Q70" s="12">
        <v>4</v>
      </c>
      <c r="R70" s="43">
        <f>VLOOKUP('22'!O70,Malzemeler!C:D,2,0)</f>
        <v>0.8</v>
      </c>
      <c r="S70" s="43">
        <f t="shared" si="5"/>
        <v>3.2</v>
      </c>
    </row>
    <row r="71" spans="1:19" x14ac:dyDescent="0.35">
      <c r="A71" s="100"/>
      <c r="B71" s="1">
        <v>22</v>
      </c>
      <c r="C71" s="1" t="s">
        <v>698</v>
      </c>
      <c r="D71" s="1" t="s">
        <v>698</v>
      </c>
      <c r="E71" s="1" t="s">
        <v>698</v>
      </c>
      <c r="F71" s="1" t="s">
        <v>698</v>
      </c>
      <c r="G71" s="1" t="s">
        <v>698</v>
      </c>
      <c r="H71" s="1" t="s">
        <v>698</v>
      </c>
      <c r="I71" s="1" t="s">
        <v>698</v>
      </c>
      <c r="J71" s="1">
        <f t="shared" si="4"/>
        <v>1</v>
      </c>
      <c r="L71" s="1" t="s">
        <v>723</v>
      </c>
      <c r="M71" s="7">
        <v>66</v>
      </c>
      <c r="N71" s="5" t="s">
        <v>321</v>
      </c>
      <c r="O71" s="3" t="s">
        <v>322</v>
      </c>
      <c r="P71" s="3" t="s">
        <v>14</v>
      </c>
      <c r="Q71" s="12">
        <v>31.192839999999997</v>
      </c>
      <c r="R71" s="43">
        <f>VLOOKUP('22'!O71,Malzemeler!C:D,2,0)</f>
        <v>0.21</v>
      </c>
      <c r="S71" s="43">
        <f t="shared" si="5"/>
        <v>6.5504963999999992</v>
      </c>
    </row>
    <row r="72" spans="1:19" x14ac:dyDescent="0.35">
      <c r="A72" s="100"/>
      <c r="B72" s="1">
        <v>22</v>
      </c>
      <c r="C72" s="1" t="s">
        <v>698</v>
      </c>
      <c r="D72" s="1" t="s">
        <v>698</v>
      </c>
      <c r="E72" s="1" t="s">
        <v>698</v>
      </c>
      <c r="F72" s="1" t="s">
        <v>698</v>
      </c>
      <c r="G72" s="1" t="s">
        <v>698</v>
      </c>
      <c r="H72" s="1" t="s">
        <v>698</v>
      </c>
      <c r="I72" s="1" t="s">
        <v>698</v>
      </c>
      <c r="J72" s="1">
        <f t="shared" si="4"/>
        <v>1</v>
      </c>
      <c r="L72" s="1" t="s">
        <v>723</v>
      </c>
      <c r="M72" s="7">
        <v>67</v>
      </c>
      <c r="N72" s="5" t="s">
        <v>323</v>
      </c>
      <c r="O72" s="3" t="s">
        <v>324</v>
      </c>
      <c r="P72" s="3" t="s">
        <v>14</v>
      </c>
      <c r="Q72" s="12">
        <v>4</v>
      </c>
      <c r="R72" s="43">
        <f>VLOOKUP('22'!O72,Malzemeler!C:D,2,0)</f>
        <v>0.8</v>
      </c>
      <c r="S72" s="43">
        <f t="shared" si="5"/>
        <v>3.2</v>
      </c>
    </row>
    <row r="73" spans="1:19" x14ac:dyDescent="0.35">
      <c r="A73" s="100"/>
      <c r="B73" s="1">
        <v>22</v>
      </c>
      <c r="C73" s="1" t="s">
        <v>698</v>
      </c>
      <c r="D73" s="1" t="s">
        <v>698</v>
      </c>
      <c r="E73" s="1" t="s">
        <v>698</v>
      </c>
      <c r="F73" s="1" t="s">
        <v>698</v>
      </c>
      <c r="G73" s="1" t="s">
        <v>698</v>
      </c>
      <c r="H73" s="1" t="s">
        <v>698</v>
      </c>
      <c r="I73" s="1" t="s">
        <v>698</v>
      </c>
      <c r="J73" s="1">
        <f t="shared" si="4"/>
        <v>1</v>
      </c>
      <c r="L73" s="1" t="s">
        <v>723</v>
      </c>
      <c r="M73" s="7">
        <v>68</v>
      </c>
      <c r="N73" s="5" t="s">
        <v>325</v>
      </c>
      <c r="O73" s="3" t="s">
        <v>326</v>
      </c>
      <c r="P73" s="3" t="s">
        <v>14</v>
      </c>
      <c r="Q73" s="12">
        <v>233.671533333333</v>
      </c>
      <c r="R73" s="43">
        <f>VLOOKUP('22'!O73,Malzemeler!C:D,2,0)</f>
        <v>0.17</v>
      </c>
      <c r="S73" s="43">
        <f t="shared" si="5"/>
        <v>39.724160666666613</v>
      </c>
    </row>
    <row r="74" spans="1:19" x14ac:dyDescent="0.35">
      <c r="A74" s="100"/>
      <c r="B74" s="1">
        <v>22</v>
      </c>
      <c r="C74" s="1" t="s">
        <v>698</v>
      </c>
      <c r="D74" s="1" t="s">
        <v>698</v>
      </c>
      <c r="E74" s="1" t="s">
        <v>698</v>
      </c>
      <c r="F74" s="1" t="s">
        <v>698</v>
      </c>
      <c r="G74" s="1" t="s">
        <v>698</v>
      </c>
      <c r="H74" s="1" t="s">
        <v>698</v>
      </c>
      <c r="I74" s="1" t="s">
        <v>698</v>
      </c>
      <c r="J74" s="1">
        <f t="shared" si="4"/>
        <v>1</v>
      </c>
      <c r="L74" s="1" t="s">
        <v>723</v>
      </c>
      <c r="M74" s="7">
        <v>69</v>
      </c>
      <c r="N74" s="5" t="s">
        <v>327</v>
      </c>
      <c r="O74" s="3" t="s">
        <v>328</v>
      </c>
      <c r="P74" s="3" t="s">
        <v>14</v>
      </c>
      <c r="Q74" s="12">
        <v>72</v>
      </c>
      <c r="R74" s="43">
        <f>VLOOKUP('22'!O74,Malzemeler!C:D,2,0)</f>
        <v>0.66</v>
      </c>
      <c r="S74" s="43">
        <f t="shared" si="5"/>
        <v>47.52</v>
      </c>
    </row>
    <row r="75" spans="1:19" x14ac:dyDescent="0.35">
      <c r="A75" s="100"/>
      <c r="B75" s="1">
        <v>22</v>
      </c>
      <c r="C75" s="1" t="s">
        <v>698</v>
      </c>
      <c r="D75" s="1" t="s">
        <v>698</v>
      </c>
      <c r="E75" s="1" t="s">
        <v>698</v>
      </c>
      <c r="F75" s="1" t="s">
        <v>698</v>
      </c>
      <c r="G75" s="1" t="s">
        <v>698</v>
      </c>
      <c r="H75" s="1" t="s">
        <v>698</v>
      </c>
      <c r="I75" s="1" t="s">
        <v>698</v>
      </c>
      <c r="J75" s="1">
        <f t="shared" si="4"/>
        <v>1</v>
      </c>
      <c r="L75" s="1" t="s">
        <v>723</v>
      </c>
      <c r="M75" s="7">
        <v>70</v>
      </c>
      <c r="N75" s="5" t="s">
        <v>329</v>
      </c>
      <c r="O75" s="3" t="s">
        <v>330</v>
      </c>
      <c r="P75" s="3" t="s">
        <v>14</v>
      </c>
      <c r="Q75" s="12">
        <v>72</v>
      </c>
      <c r="R75" s="43">
        <f>VLOOKUP('22'!O75,Malzemeler!C:D,2,0)</f>
        <v>0.28999999999999998</v>
      </c>
      <c r="S75" s="43">
        <f t="shared" si="5"/>
        <v>20.88</v>
      </c>
    </row>
    <row r="76" spans="1:19" x14ac:dyDescent="0.35">
      <c r="A76" s="100"/>
      <c r="B76" s="1">
        <v>22</v>
      </c>
      <c r="C76" s="1" t="s">
        <v>698</v>
      </c>
      <c r="D76" s="1" t="s">
        <v>698</v>
      </c>
      <c r="E76" s="1" t="s">
        <v>698</v>
      </c>
      <c r="F76" s="1" t="s">
        <v>698</v>
      </c>
      <c r="G76" s="1" t="s">
        <v>698</v>
      </c>
      <c r="H76" s="1" t="s">
        <v>698</v>
      </c>
      <c r="I76" s="1" t="s">
        <v>698</v>
      </c>
      <c r="J76" s="1">
        <f t="shared" si="4"/>
        <v>1</v>
      </c>
      <c r="L76" s="1" t="s">
        <v>723</v>
      </c>
      <c r="M76" s="7">
        <v>71</v>
      </c>
      <c r="N76" s="5" t="s">
        <v>331</v>
      </c>
      <c r="O76" s="3" t="s">
        <v>332</v>
      </c>
      <c r="P76" s="3" t="s">
        <v>14</v>
      </c>
      <c r="Q76" s="12">
        <v>72</v>
      </c>
      <c r="R76" s="43">
        <f>VLOOKUP('22'!O76,Malzemeler!C:D,2,0)</f>
        <v>0.28999999999999998</v>
      </c>
      <c r="S76" s="43">
        <f t="shared" si="5"/>
        <v>20.88</v>
      </c>
    </row>
    <row r="77" spans="1:19" x14ac:dyDescent="0.35">
      <c r="A77" s="100"/>
      <c r="B77" s="1">
        <v>22</v>
      </c>
      <c r="C77" s="1" t="s">
        <v>698</v>
      </c>
      <c r="D77" s="1" t="s">
        <v>698</v>
      </c>
      <c r="E77" s="1" t="s">
        <v>698</v>
      </c>
      <c r="F77" s="1" t="s">
        <v>698</v>
      </c>
      <c r="G77" s="1" t="s">
        <v>698</v>
      </c>
      <c r="H77" s="1" t="s">
        <v>698</v>
      </c>
      <c r="I77" s="1" t="s">
        <v>698</v>
      </c>
      <c r="J77" s="1">
        <f t="shared" si="4"/>
        <v>1</v>
      </c>
      <c r="L77" s="1" t="s">
        <v>723</v>
      </c>
      <c r="M77" s="7">
        <v>72</v>
      </c>
      <c r="N77" s="5" t="s">
        <v>333</v>
      </c>
      <c r="O77" s="3" t="s">
        <v>334</v>
      </c>
      <c r="P77" s="3" t="s">
        <v>14</v>
      </c>
      <c r="Q77" s="12">
        <v>72</v>
      </c>
      <c r="R77" s="43">
        <f>VLOOKUP('22'!O77,Malzemeler!C:D,2,0)</f>
        <v>0.18</v>
      </c>
      <c r="S77" s="43">
        <f t="shared" si="5"/>
        <v>12.959999999999999</v>
      </c>
    </row>
    <row r="78" spans="1:19" x14ac:dyDescent="0.35">
      <c r="A78" s="100"/>
      <c r="B78" s="1">
        <v>22</v>
      </c>
      <c r="C78" s="1" t="s">
        <v>698</v>
      </c>
      <c r="D78" s="1" t="s">
        <v>698</v>
      </c>
      <c r="E78" s="1" t="s">
        <v>698</v>
      </c>
      <c r="F78" s="1" t="s">
        <v>698</v>
      </c>
      <c r="G78" s="1" t="s">
        <v>698</v>
      </c>
      <c r="H78" s="1" t="s">
        <v>698</v>
      </c>
      <c r="I78" s="1" t="s">
        <v>698</v>
      </c>
      <c r="J78" s="1">
        <f t="shared" si="4"/>
        <v>1</v>
      </c>
      <c r="L78" s="1" t="s">
        <v>723</v>
      </c>
      <c r="M78" s="7">
        <v>73</v>
      </c>
      <c r="N78" s="5" t="s">
        <v>335</v>
      </c>
      <c r="O78" s="3" t="s">
        <v>336</v>
      </c>
      <c r="P78" s="3" t="s">
        <v>14</v>
      </c>
      <c r="Q78" s="12">
        <v>72</v>
      </c>
      <c r="R78" s="43">
        <f>VLOOKUP('22'!O78,Malzemeler!C:D,2,0)</f>
        <v>0.26</v>
      </c>
      <c r="S78" s="43">
        <f t="shared" si="5"/>
        <v>18.72</v>
      </c>
    </row>
    <row r="79" spans="1:19" x14ac:dyDescent="0.35">
      <c r="A79" s="100"/>
      <c r="B79" s="1">
        <v>22</v>
      </c>
      <c r="C79" s="1" t="s">
        <v>698</v>
      </c>
      <c r="D79" s="1" t="s">
        <v>698</v>
      </c>
      <c r="E79" s="1" t="s">
        <v>698</v>
      </c>
      <c r="F79" s="1" t="s">
        <v>698</v>
      </c>
      <c r="G79" s="1" t="s">
        <v>698</v>
      </c>
      <c r="H79" s="1" t="s">
        <v>698</v>
      </c>
      <c r="I79" s="1" t="s">
        <v>698</v>
      </c>
      <c r="J79" s="1">
        <f t="shared" si="4"/>
        <v>1</v>
      </c>
      <c r="L79" s="1" t="s">
        <v>723</v>
      </c>
      <c r="M79" s="7">
        <v>74</v>
      </c>
      <c r="N79" s="5" t="s">
        <v>644</v>
      </c>
      <c r="O79" s="3" t="s">
        <v>662</v>
      </c>
      <c r="P79" s="3" t="s">
        <v>14</v>
      </c>
      <c r="Q79" s="12">
        <v>0.59789548800000003</v>
      </c>
      <c r="R79" s="43">
        <f>VLOOKUP('22'!O79,Malzemeler!C:D,2,0)</f>
        <v>0</v>
      </c>
      <c r="S79" s="43">
        <f t="shared" si="5"/>
        <v>0</v>
      </c>
    </row>
    <row r="80" spans="1:19" x14ac:dyDescent="0.35">
      <c r="A80" s="100"/>
      <c r="B80" s="1">
        <v>22</v>
      </c>
      <c r="C80" s="1" t="s">
        <v>698</v>
      </c>
      <c r="D80" s="1" t="s">
        <v>698</v>
      </c>
      <c r="E80" s="1" t="s">
        <v>698</v>
      </c>
      <c r="F80" s="1" t="s">
        <v>698</v>
      </c>
      <c r="G80" s="1" t="s">
        <v>698</v>
      </c>
      <c r="H80" s="1" t="s">
        <v>698</v>
      </c>
      <c r="I80" s="1" t="s">
        <v>698</v>
      </c>
      <c r="J80" s="1">
        <f t="shared" si="4"/>
        <v>1</v>
      </c>
      <c r="L80" s="1" t="s">
        <v>723</v>
      </c>
      <c r="M80" s="7">
        <v>75</v>
      </c>
      <c r="N80" s="5" t="s">
        <v>645</v>
      </c>
      <c r="O80" s="3" t="s">
        <v>663</v>
      </c>
      <c r="P80" s="3" t="s">
        <v>14</v>
      </c>
      <c r="Q80" s="12">
        <v>0.14947387200000001</v>
      </c>
      <c r="R80" s="43">
        <f>VLOOKUP('22'!O80,Malzemeler!C:D,2,0)</f>
        <v>0</v>
      </c>
      <c r="S80" s="43">
        <f t="shared" si="5"/>
        <v>0</v>
      </c>
    </row>
    <row r="81" spans="1:19" x14ac:dyDescent="0.35">
      <c r="A81" s="100"/>
      <c r="B81" s="1">
        <v>22</v>
      </c>
      <c r="C81" s="1" t="s">
        <v>698</v>
      </c>
      <c r="D81" s="1" t="s">
        <v>698</v>
      </c>
      <c r="E81" s="1" t="s">
        <v>698</v>
      </c>
      <c r="F81" s="1" t="s">
        <v>698</v>
      </c>
      <c r="G81" s="1" t="s">
        <v>698</v>
      </c>
      <c r="H81" s="1" t="s">
        <v>698</v>
      </c>
      <c r="I81" s="1" t="s">
        <v>698</v>
      </c>
      <c r="J81" s="1">
        <f t="shared" si="4"/>
        <v>1</v>
      </c>
      <c r="L81" s="1" t="s">
        <v>723</v>
      </c>
      <c r="M81" s="7">
        <v>76</v>
      </c>
      <c r="N81" s="5" t="s">
        <v>646</v>
      </c>
      <c r="O81" s="3" t="s">
        <v>664</v>
      </c>
      <c r="P81" s="3" t="s">
        <v>14</v>
      </c>
      <c r="Q81" s="12">
        <v>30</v>
      </c>
      <c r="R81" s="43">
        <f>VLOOKUP('22'!O81,Malzemeler!C:D,2,0)</f>
        <v>0</v>
      </c>
      <c r="S81" s="43">
        <f t="shared" si="5"/>
        <v>0</v>
      </c>
    </row>
    <row r="82" spans="1:19" x14ac:dyDescent="0.35">
      <c r="A82" s="100"/>
      <c r="B82" s="1">
        <v>22</v>
      </c>
      <c r="C82" s="1" t="s">
        <v>698</v>
      </c>
      <c r="D82" s="1" t="s">
        <v>698</v>
      </c>
      <c r="E82" s="1" t="s">
        <v>698</v>
      </c>
      <c r="F82" s="1" t="s">
        <v>698</v>
      </c>
      <c r="G82" s="1" t="s">
        <v>698</v>
      </c>
      <c r="H82" s="1" t="s">
        <v>698</v>
      </c>
      <c r="I82" s="1" t="s">
        <v>698</v>
      </c>
      <c r="J82" s="1">
        <f t="shared" si="4"/>
        <v>1</v>
      </c>
      <c r="L82" s="1" t="s">
        <v>723</v>
      </c>
      <c r="M82" s="7">
        <v>77</v>
      </c>
      <c r="N82" s="5" t="s">
        <v>337</v>
      </c>
      <c r="O82" s="3" t="s">
        <v>338</v>
      </c>
      <c r="P82" s="3" t="s">
        <v>14</v>
      </c>
      <c r="Q82" s="12">
        <v>12</v>
      </c>
      <c r="R82" s="43">
        <f>VLOOKUP('22'!O82,Malzemeler!C:D,2,0)</f>
        <v>2.25</v>
      </c>
      <c r="S82" s="43">
        <f t="shared" si="5"/>
        <v>27</v>
      </c>
    </row>
    <row r="83" spans="1:19" x14ac:dyDescent="0.35">
      <c r="A83" s="100"/>
      <c r="B83" s="1">
        <v>22</v>
      </c>
      <c r="C83" s="1" t="s">
        <v>698</v>
      </c>
      <c r="D83" s="1" t="s">
        <v>698</v>
      </c>
      <c r="E83" s="1" t="s">
        <v>698</v>
      </c>
      <c r="F83" s="1" t="s">
        <v>698</v>
      </c>
      <c r="G83" s="1" t="s">
        <v>698</v>
      </c>
      <c r="H83" s="1" t="s">
        <v>698</v>
      </c>
      <c r="I83" s="1" t="s">
        <v>698</v>
      </c>
      <c r="J83" s="1">
        <f t="shared" si="4"/>
        <v>1</v>
      </c>
      <c r="L83" s="1" t="s">
        <v>723</v>
      </c>
      <c r="M83" s="7">
        <v>78</v>
      </c>
      <c r="N83" s="5" t="s">
        <v>647</v>
      </c>
      <c r="O83" s="3" t="s">
        <v>665</v>
      </c>
      <c r="P83" s="3" t="s">
        <v>14</v>
      </c>
      <c r="Q83" s="12">
        <v>16</v>
      </c>
      <c r="R83" s="43">
        <f>VLOOKUP('22'!O83,Malzemeler!C:D,2,0)</f>
        <v>0</v>
      </c>
      <c r="S83" s="43">
        <f t="shared" si="5"/>
        <v>0</v>
      </c>
    </row>
    <row r="84" spans="1:19" x14ac:dyDescent="0.35">
      <c r="A84" s="100"/>
      <c r="B84" s="1">
        <v>22</v>
      </c>
      <c r="C84" s="1" t="s">
        <v>698</v>
      </c>
      <c r="D84" s="1" t="s">
        <v>698</v>
      </c>
      <c r="E84" s="1" t="s">
        <v>698</v>
      </c>
      <c r="F84" s="1" t="s">
        <v>698</v>
      </c>
      <c r="G84" s="1" t="s">
        <v>698</v>
      </c>
      <c r="H84" s="1" t="s">
        <v>698</v>
      </c>
      <c r="I84" s="1" t="s">
        <v>698</v>
      </c>
      <c r="J84" s="1">
        <f t="shared" si="4"/>
        <v>1</v>
      </c>
      <c r="L84" s="1" t="s">
        <v>723</v>
      </c>
      <c r="M84" s="7">
        <v>79</v>
      </c>
      <c r="N84" s="5" t="s">
        <v>341</v>
      </c>
      <c r="O84" s="3" t="s">
        <v>342</v>
      </c>
      <c r="P84" s="3" t="s">
        <v>14</v>
      </c>
      <c r="Q84" s="12">
        <v>250.20828799999998</v>
      </c>
      <c r="R84" s="43">
        <f>VLOOKUP('22'!O84,Malzemeler!C:D,2,0)</f>
        <v>0.2</v>
      </c>
      <c r="S84" s="43">
        <f t="shared" si="5"/>
        <v>50.041657600000001</v>
      </c>
    </row>
    <row r="85" spans="1:19" x14ac:dyDescent="0.35">
      <c r="A85" s="100"/>
      <c r="B85" s="1">
        <v>22</v>
      </c>
      <c r="C85" s="1" t="s">
        <v>698</v>
      </c>
      <c r="D85" s="1" t="s">
        <v>698</v>
      </c>
      <c r="E85" s="1" t="s">
        <v>698</v>
      </c>
      <c r="F85" s="1" t="s">
        <v>698</v>
      </c>
      <c r="G85" s="1" t="s">
        <v>698</v>
      </c>
      <c r="H85" s="1" t="s">
        <v>698</v>
      </c>
      <c r="I85" s="1" t="s">
        <v>698</v>
      </c>
      <c r="J85" s="1">
        <f t="shared" si="4"/>
        <v>1</v>
      </c>
      <c r="L85" s="1" t="s">
        <v>723</v>
      </c>
      <c r="M85" s="7">
        <v>80</v>
      </c>
      <c r="N85" s="5" t="s">
        <v>343</v>
      </c>
      <c r="O85" s="3" t="s">
        <v>344</v>
      </c>
      <c r="P85" s="3" t="s">
        <v>14</v>
      </c>
      <c r="Q85" s="12">
        <v>24</v>
      </c>
      <c r="R85" s="43">
        <f>VLOOKUP('22'!O85,Malzemeler!C:D,2,0)</f>
        <v>1</v>
      </c>
      <c r="S85" s="43">
        <f t="shared" si="5"/>
        <v>24</v>
      </c>
    </row>
    <row r="86" spans="1:19" x14ac:dyDescent="0.35">
      <c r="A86" s="100"/>
      <c r="B86" s="1">
        <v>22</v>
      </c>
      <c r="C86" s="1" t="s">
        <v>698</v>
      </c>
      <c r="D86" s="1" t="s">
        <v>698</v>
      </c>
      <c r="E86" s="1" t="s">
        <v>698</v>
      </c>
      <c r="F86" s="1" t="s">
        <v>698</v>
      </c>
      <c r="G86" s="1" t="s">
        <v>698</v>
      </c>
      <c r="H86" s="1" t="s">
        <v>698</v>
      </c>
      <c r="I86" s="1" t="s">
        <v>698</v>
      </c>
      <c r="J86" s="1">
        <f t="shared" si="4"/>
        <v>1</v>
      </c>
      <c r="L86" s="1" t="s">
        <v>723</v>
      </c>
      <c r="M86" s="7">
        <v>81</v>
      </c>
      <c r="N86" s="5" t="s">
        <v>396</v>
      </c>
      <c r="O86" s="3" t="s">
        <v>397</v>
      </c>
      <c r="P86" s="3" t="s">
        <v>14</v>
      </c>
      <c r="Q86" s="12">
        <v>15.098775999999999</v>
      </c>
      <c r="R86" s="43">
        <f>VLOOKUP('22'!O86,Malzemeler!C:D,2,0)</f>
        <v>3.52</v>
      </c>
      <c r="S86" s="43">
        <f t="shared" si="5"/>
        <v>53.147691519999995</v>
      </c>
    </row>
    <row r="87" spans="1:19" x14ac:dyDescent="0.35">
      <c r="A87" s="100"/>
      <c r="B87" s="1">
        <v>22</v>
      </c>
      <c r="C87" s="1" t="s">
        <v>698</v>
      </c>
      <c r="D87" s="1" t="s">
        <v>698</v>
      </c>
      <c r="E87" s="1" t="s">
        <v>698</v>
      </c>
      <c r="F87" s="1" t="s">
        <v>698</v>
      </c>
      <c r="G87" s="1" t="s">
        <v>698</v>
      </c>
      <c r="H87" s="1" t="s">
        <v>698</v>
      </c>
      <c r="I87" s="1" t="s">
        <v>698</v>
      </c>
      <c r="J87" s="1">
        <f t="shared" si="4"/>
        <v>1</v>
      </c>
      <c r="L87" s="1" t="s">
        <v>723</v>
      </c>
      <c r="M87" s="7">
        <v>82</v>
      </c>
      <c r="N87" s="5" t="s">
        <v>349</v>
      </c>
      <c r="O87" s="3" t="s">
        <v>350</v>
      </c>
      <c r="P87" s="3" t="s">
        <v>14</v>
      </c>
      <c r="Q87" s="12">
        <v>2</v>
      </c>
      <c r="R87" s="43">
        <f>VLOOKUP('22'!O87,Malzemeler!C:D,2,0)</f>
        <v>5.44</v>
      </c>
      <c r="S87" s="43">
        <f t="shared" si="5"/>
        <v>10.88</v>
      </c>
    </row>
    <row r="88" spans="1:19" x14ac:dyDescent="0.35">
      <c r="A88" s="100"/>
      <c r="B88" s="1">
        <v>22</v>
      </c>
      <c r="C88" s="1" t="s">
        <v>698</v>
      </c>
      <c r="D88" s="1" t="s">
        <v>698</v>
      </c>
      <c r="E88" s="1" t="s">
        <v>698</v>
      </c>
      <c r="F88" s="1" t="s">
        <v>698</v>
      </c>
      <c r="G88" s="1" t="s">
        <v>698</v>
      </c>
      <c r="H88" s="1" t="s">
        <v>698</v>
      </c>
      <c r="I88" s="1" t="s">
        <v>698</v>
      </c>
      <c r="J88" s="1">
        <f t="shared" si="4"/>
        <v>1</v>
      </c>
      <c r="L88" s="1" t="s">
        <v>723</v>
      </c>
      <c r="M88" s="7">
        <v>83</v>
      </c>
      <c r="N88" s="5" t="s">
        <v>351</v>
      </c>
      <c r="O88" s="3" t="s">
        <v>352</v>
      </c>
      <c r="P88" s="3" t="s">
        <v>14</v>
      </c>
      <c r="Q88" s="12">
        <v>2</v>
      </c>
      <c r="R88" s="43">
        <f>VLOOKUP('22'!O88,Malzemeler!C:D,2,0)</f>
        <v>2.98</v>
      </c>
      <c r="S88" s="43">
        <f t="shared" si="5"/>
        <v>5.96</v>
      </c>
    </row>
    <row r="89" spans="1:19" x14ac:dyDescent="0.35">
      <c r="A89" s="100"/>
      <c r="B89" s="1">
        <v>22</v>
      </c>
      <c r="C89" s="1" t="s">
        <v>698</v>
      </c>
      <c r="D89" s="1" t="s">
        <v>698</v>
      </c>
      <c r="E89" s="1" t="s">
        <v>698</v>
      </c>
      <c r="F89" s="1" t="s">
        <v>698</v>
      </c>
      <c r="G89" s="1" t="s">
        <v>698</v>
      </c>
      <c r="H89" s="1" t="s">
        <v>698</v>
      </c>
      <c r="I89" s="1" t="s">
        <v>698</v>
      </c>
      <c r="J89" s="1">
        <f t="shared" si="4"/>
        <v>1</v>
      </c>
      <c r="L89" s="1" t="s">
        <v>723</v>
      </c>
      <c r="M89" s="7">
        <v>84</v>
      </c>
      <c r="N89" s="5" t="s">
        <v>648</v>
      </c>
      <c r="O89" s="3" t="s">
        <v>648</v>
      </c>
      <c r="P89" s="3" t="s">
        <v>14</v>
      </c>
      <c r="Q89" s="12">
        <v>20</v>
      </c>
      <c r="R89" s="43">
        <f>VLOOKUP('22'!O89,Malzemeler!C:D,2,0)</f>
        <v>0</v>
      </c>
      <c r="S89" s="43">
        <f t="shared" si="5"/>
        <v>0</v>
      </c>
    </row>
    <row r="90" spans="1:19" x14ac:dyDescent="0.35">
      <c r="A90" s="100"/>
      <c r="B90" s="1">
        <v>22</v>
      </c>
      <c r="C90" s="1" t="s">
        <v>698</v>
      </c>
      <c r="D90" s="1" t="s">
        <v>698</v>
      </c>
      <c r="E90" s="1" t="s">
        <v>698</v>
      </c>
      <c r="F90" s="1" t="s">
        <v>698</v>
      </c>
      <c r="G90" s="1" t="s">
        <v>698</v>
      </c>
      <c r="H90" s="1" t="s">
        <v>698</v>
      </c>
      <c r="I90" s="1" t="s">
        <v>698</v>
      </c>
      <c r="J90" s="1">
        <f t="shared" si="4"/>
        <v>1</v>
      </c>
      <c r="L90" s="1" t="s">
        <v>723</v>
      </c>
      <c r="M90" s="7">
        <v>85</v>
      </c>
      <c r="N90" s="5" t="s">
        <v>649</v>
      </c>
      <c r="O90" s="3" t="s">
        <v>649</v>
      </c>
      <c r="P90" s="3" t="s">
        <v>14</v>
      </c>
      <c r="Q90" s="12">
        <v>8</v>
      </c>
      <c r="R90" s="43">
        <f>VLOOKUP('22'!O90,Malzemeler!C:D,2,0)</f>
        <v>0</v>
      </c>
      <c r="S90" s="43">
        <f t="shared" si="5"/>
        <v>0</v>
      </c>
    </row>
    <row r="91" spans="1:19" x14ac:dyDescent="0.35">
      <c r="A91" s="100"/>
      <c r="B91" s="1">
        <v>22</v>
      </c>
      <c r="C91" s="1" t="s">
        <v>698</v>
      </c>
      <c r="D91" s="1" t="s">
        <v>698</v>
      </c>
      <c r="E91" s="1" t="s">
        <v>698</v>
      </c>
      <c r="F91" s="1" t="s">
        <v>698</v>
      </c>
      <c r="G91" s="1" t="s">
        <v>698</v>
      </c>
      <c r="H91" s="1" t="s">
        <v>698</v>
      </c>
      <c r="I91" s="1" t="s">
        <v>698</v>
      </c>
      <c r="J91" s="1">
        <f t="shared" si="4"/>
        <v>1</v>
      </c>
      <c r="L91" s="1" t="s">
        <v>723</v>
      </c>
      <c r="M91" s="7">
        <v>86</v>
      </c>
      <c r="N91" s="5" t="s">
        <v>652</v>
      </c>
      <c r="O91" s="3" t="s">
        <v>666</v>
      </c>
      <c r="P91" s="3" t="s">
        <v>14</v>
      </c>
      <c r="Q91" s="10">
        <v>2</v>
      </c>
      <c r="R91" s="43">
        <f>VLOOKUP('22'!O91,Malzemeler!C:D,2,0)</f>
        <v>0</v>
      </c>
      <c r="S91" s="43">
        <f t="shared" si="5"/>
        <v>0</v>
      </c>
    </row>
    <row r="92" spans="1:19" x14ac:dyDescent="0.35">
      <c r="A92" s="100"/>
      <c r="B92" s="1">
        <v>22</v>
      </c>
      <c r="C92" s="1" t="s">
        <v>698</v>
      </c>
      <c r="D92" s="1" t="s">
        <v>698</v>
      </c>
      <c r="E92" s="1" t="s">
        <v>698</v>
      </c>
      <c r="F92" s="1" t="s">
        <v>698</v>
      </c>
      <c r="G92" s="1" t="s">
        <v>698</v>
      </c>
      <c r="H92" s="1" t="s">
        <v>698</v>
      </c>
      <c r="I92" s="1" t="s">
        <v>698</v>
      </c>
      <c r="J92" s="1">
        <f t="shared" si="4"/>
        <v>1</v>
      </c>
      <c r="L92" s="1" t="s">
        <v>723</v>
      </c>
      <c r="M92" s="7">
        <v>87</v>
      </c>
      <c r="N92" s="5" t="s">
        <v>653</v>
      </c>
      <c r="O92" s="3" t="s">
        <v>667</v>
      </c>
      <c r="P92" s="3" t="s">
        <v>14</v>
      </c>
      <c r="Q92" s="10">
        <v>2</v>
      </c>
      <c r="R92" s="43">
        <f>VLOOKUP('22'!O92,Malzemeler!C:D,2,0)</f>
        <v>0</v>
      </c>
      <c r="S92" s="43">
        <f t="shared" si="5"/>
        <v>0</v>
      </c>
    </row>
    <row r="93" spans="1:19" x14ac:dyDescent="0.35">
      <c r="A93" s="101"/>
      <c r="B93" s="1">
        <v>22</v>
      </c>
      <c r="C93" s="1" t="s">
        <v>698</v>
      </c>
      <c r="D93" s="1" t="s">
        <v>698</v>
      </c>
      <c r="E93" s="1" t="s">
        <v>698</v>
      </c>
      <c r="F93" s="1" t="s">
        <v>698</v>
      </c>
      <c r="G93" s="1" t="s">
        <v>698</v>
      </c>
      <c r="H93" s="1" t="s">
        <v>698</v>
      </c>
      <c r="I93" s="1" t="s">
        <v>698</v>
      </c>
      <c r="J93" s="1">
        <f t="shared" si="4"/>
        <v>1</v>
      </c>
      <c r="L93" s="1" t="s">
        <v>723</v>
      </c>
      <c r="M93" s="7">
        <v>88</v>
      </c>
      <c r="N93" s="5" t="s">
        <v>731</v>
      </c>
      <c r="O93" s="3" t="s">
        <v>732</v>
      </c>
      <c r="P93" s="3" t="s">
        <v>14</v>
      </c>
      <c r="Q93" s="3">
        <v>83.93</v>
      </c>
      <c r="R93" s="43">
        <f>VLOOKUP('22'!O93,Malzemeler!C:D,2,0)</f>
        <v>0</v>
      </c>
      <c r="S93" s="43">
        <f t="shared" si="5"/>
        <v>0</v>
      </c>
    </row>
    <row r="94" spans="1:19" ht="15" customHeight="1" x14ac:dyDescent="0.35">
      <c r="A94" s="99" t="s">
        <v>722</v>
      </c>
      <c r="B94" s="1">
        <v>22</v>
      </c>
      <c r="C94" s="1" t="s">
        <v>698</v>
      </c>
      <c r="D94" s="1" t="s">
        <v>698</v>
      </c>
      <c r="E94" s="1" t="s">
        <v>698</v>
      </c>
      <c r="F94" s="1" t="s">
        <v>698</v>
      </c>
      <c r="G94" s="1" t="s">
        <v>698</v>
      </c>
      <c r="H94" s="1" t="s">
        <v>698</v>
      </c>
      <c r="I94" s="1" t="s">
        <v>698</v>
      </c>
      <c r="J94" s="1">
        <f t="shared" ref="J94:J119" si="6">SUBTOTAL(103,B94)</f>
        <v>1</v>
      </c>
      <c r="L94" s="1" t="s">
        <v>722</v>
      </c>
      <c r="M94" s="7">
        <v>1</v>
      </c>
      <c r="N94" s="5" t="s">
        <v>27</v>
      </c>
      <c r="O94" s="3" t="s">
        <v>28</v>
      </c>
      <c r="P94" s="3" t="s">
        <v>14</v>
      </c>
      <c r="Q94" s="3">
        <v>1</v>
      </c>
      <c r="R94" s="43">
        <f>VLOOKUP('22'!O94,Malzemeler!C:D,2,0)</f>
        <v>4.76</v>
      </c>
      <c r="S94" s="43">
        <f t="shared" si="5"/>
        <v>4.76</v>
      </c>
    </row>
    <row r="95" spans="1:19" x14ac:dyDescent="0.35">
      <c r="A95" s="100"/>
      <c r="B95" s="1">
        <v>22</v>
      </c>
      <c r="C95" s="1" t="s">
        <v>698</v>
      </c>
      <c r="D95" s="1" t="s">
        <v>698</v>
      </c>
      <c r="E95" s="1" t="s">
        <v>698</v>
      </c>
      <c r="F95" s="1" t="s">
        <v>698</v>
      </c>
      <c r="G95" s="1" t="s">
        <v>698</v>
      </c>
      <c r="H95" s="1" t="s">
        <v>698</v>
      </c>
      <c r="I95" s="1" t="s">
        <v>698</v>
      </c>
      <c r="J95" s="1">
        <f t="shared" si="6"/>
        <v>1</v>
      </c>
      <c r="L95" s="1" t="s">
        <v>722</v>
      </c>
      <c r="M95" s="7">
        <v>2</v>
      </c>
      <c r="N95" s="5" t="s">
        <v>29</v>
      </c>
      <c r="O95" s="3" t="s">
        <v>30</v>
      </c>
      <c r="P95" s="3" t="s">
        <v>14</v>
      </c>
      <c r="Q95" s="2">
        <v>1</v>
      </c>
      <c r="R95" s="43">
        <f>VLOOKUP('22'!O95,Malzemeler!C:D,2,0)</f>
        <v>4.76</v>
      </c>
      <c r="S95" s="43">
        <f t="shared" si="5"/>
        <v>4.76</v>
      </c>
    </row>
    <row r="96" spans="1:19" x14ac:dyDescent="0.35">
      <c r="A96" s="100"/>
      <c r="B96" s="1">
        <v>22</v>
      </c>
      <c r="C96" s="1" t="s">
        <v>698</v>
      </c>
      <c r="D96" s="1" t="s">
        <v>698</v>
      </c>
      <c r="E96" s="1" t="s">
        <v>698</v>
      </c>
      <c r="F96" s="1" t="s">
        <v>698</v>
      </c>
      <c r="G96" s="1" t="s">
        <v>698</v>
      </c>
      <c r="H96" s="1" t="s">
        <v>698</v>
      </c>
      <c r="I96" s="1" t="s">
        <v>698</v>
      </c>
      <c r="J96" s="1">
        <f t="shared" si="6"/>
        <v>1</v>
      </c>
      <c r="L96" s="1" t="s">
        <v>722</v>
      </c>
      <c r="M96" s="7">
        <v>3</v>
      </c>
      <c r="N96" s="5" t="s">
        <v>196</v>
      </c>
      <c r="O96" s="3" t="s">
        <v>540</v>
      </c>
      <c r="P96" s="3" t="s">
        <v>14</v>
      </c>
      <c r="Q96" s="3">
        <v>1</v>
      </c>
      <c r="R96" s="43">
        <f>VLOOKUP('22'!O96,Malzemeler!C:D,2,0)</f>
        <v>0</v>
      </c>
      <c r="S96" s="43">
        <f t="shared" si="5"/>
        <v>0</v>
      </c>
    </row>
    <row r="97" spans="1:19" x14ac:dyDescent="0.35">
      <c r="A97" s="100"/>
      <c r="B97" s="1">
        <v>22</v>
      </c>
      <c r="C97" s="1" t="s">
        <v>698</v>
      </c>
      <c r="D97" s="1" t="s">
        <v>698</v>
      </c>
      <c r="E97" s="1" t="s">
        <v>698</v>
      </c>
      <c r="F97" s="1" t="s">
        <v>698</v>
      </c>
      <c r="G97" s="1" t="s">
        <v>698</v>
      </c>
      <c r="H97" s="1" t="s">
        <v>698</v>
      </c>
      <c r="I97" s="1" t="s">
        <v>698</v>
      </c>
      <c r="J97" s="1">
        <f t="shared" si="6"/>
        <v>1</v>
      </c>
      <c r="L97" s="1" t="s">
        <v>722</v>
      </c>
      <c r="M97" s="7">
        <v>4</v>
      </c>
      <c r="N97" s="5" t="s">
        <v>25</v>
      </c>
      <c r="O97" s="3" t="s">
        <v>26</v>
      </c>
      <c r="P97" s="3" t="s">
        <v>14</v>
      </c>
      <c r="Q97" s="3">
        <v>1</v>
      </c>
      <c r="R97" s="43">
        <f>VLOOKUP('22'!O97,Malzemeler!C:D,2,0)</f>
        <v>40.53</v>
      </c>
      <c r="S97" s="43">
        <f t="shared" si="5"/>
        <v>40.53</v>
      </c>
    </row>
    <row r="98" spans="1:19" x14ac:dyDescent="0.35">
      <c r="A98" s="100"/>
      <c r="B98" s="1">
        <v>22</v>
      </c>
      <c r="C98" s="1" t="s">
        <v>698</v>
      </c>
      <c r="D98" s="1" t="s">
        <v>698</v>
      </c>
      <c r="E98" s="1" t="s">
        <v>698</v>
      </c>
      <c r="F98" s="1" t="s">
        <v>698</v>
      </c>
      <c r="G98" s="1" t="s">
        <v>698</v>
      </c>
      <c r="H98" s="1" t="s">
        <v>698</v>
      </c>
      <c r="I98" s="1" t="s">
        <v>698</v>
      </c>
      <c r="J98" s="1">
        <f t="shared" si="6"/>
        <v>1</v>
      </c>
      <c r="L98" s="1" t="s">
        <v>722</v>
      </c>
      <c r="M98" s="7">
        <v>5</v>
      </c>
      <c r="N98" s="5" t="s">
        <v>49</v>
      </c>
      <c r="O98" s="3" t="s">
        <v>50</v>
      </c>
      <c r="P98" s="3" t="s">
        <v>14</v>
      </c>
      <c r="Q98" s="3">
        <v>1</v>
      </c>
      <c r="R98" s="43">
        <f>VLOOKUP('22'!O98,Malzemeler!C:D,2,0)</f>
        <v>46.47</v>
      </c>
      <c r="S98" s="43">
        <f t="shared" si="5"/>
        <v>46.47</v>
      </c>
    </row>
    <row r="99" spans="1:19" x14ac:dyDescent="0.35">
      <c r="A99" s="100"/>
      <c r="B99" s="1">
        <v>22</v>
      </c>
      <c r="C99" s="1" t="s">
        <v>698</v>
      </c>
      <c r="D99" s="1" t="s">
        <v>698</v>
      </c>
      <c r="E99" s="1" t="s">
        <v>698</v>
      </c>
      <c r="F99" s="1" t="s">
        <v>698</v>
      </c>
      <c r="G99" s="1" t="s">
        <v>698</v>
      </c>
      <c r="H99" s="1" t="s">
        <v>698</v>
      </c>
      <c r="I99" s="1" t="s">
        <v>698</v>
      </c>
      <c r="J99" s="1">
        <f t="shared" si="6"/>
        <v>1</v>
      </c>
      <c r="L99" s="1" t="s">
        <v>722</v>
      </c>
      <c r="M99" s="7">
        <v>6</v>
      </c>
      <c r="N99" s="5" t="s">
        <v>51</v>
      </c>
      <c r="O99" s="3" t="s">
        <v>52</v>
      </c>
      <c r="P99" s="3" t="s">
        <v>14</v>
      </c>
      <c r="Q99" s="3">
        <v>1</v>
      </c>
      <c r="R99" s="43">
        <f>VLOOKUP('22'!O99,Malzemeler!C:D,2,0)</f>
        <v>74.48</v>
      </c>
      <c r="S99" s="43">
        <f t="shared" si="5"/>
        <v>74.48</v>
      </c>
    </row>
    <row r="100" spans="1:19" x14ac:dyDescent="0.35">
      <c r="A100" s="100"/>
      <c r="B100" s="1">
        <v>22</v>
      </c>
      <c r="C100" s="1" t="s">
        <v>698</v>
      </c>
      <c r="D100" s="1" t="s">
        <v>698</v>
      </c>
      <c r="E100" s="1" t="s">
        <v>698</v>
      </c>
      <c r="F100" s="1" t="s">
        <v>698</v>
      </c>
      <c r="G100" s="1" t="s">
        <v>698</v>
      </c>
      <c r="H100" s="1" t="s">
        <v>698</v>
      </c>
      <c r="I100" s="1" t="s">
        <v>698</v>
      </c>
      <c r="J100" s="1">
        <f t="shared" si="6"/>
        <v>1</v>
      </c>
      <c r="L100" s="1" t="s">
        <v>722</v>
      </c>
      <c r="M100" s="7">
        <v>7</v>
      </c>
      <c r="N100" s="5" t="s">
        <v>31</v>
      </c>
      <c r="O100" s="3" t="s">
        <v>32</v>
      </c>
      <c r="P100" s="3" t="s">
        <v>14</v>
      </c>
      <c r="Q100" s="3">
        <v>1</v>
      </c>
      <c r="R100" s="43">
        <f>VLOOKUP('22'!O100,Malzemeler!C:D,2,0)</f>
        <v>675.52</v>
      </c>
      <c r="S100" s="43">
        <f t="shared" si="5"/>
        <v>675.52</v>
      </c>
    </row>
    <row r="101" spans="1:19" x14ac:dyDescent="0.35">
      <c r="A101" s="100"/>
      <c r="B101" s="1">
        <v>22</v>
      </c>
      <c r="C101" s="1" t="s">
        <v>698</v>
      </c>
      <c r="D101" s="1" t="s">
        <v>698</v>
      </c>
      <c r="E101" s="1" t="s">
        <v>698</v>
      </c>
      <c r="F101" s="1" t="s">
        <v>698</v>
      </c>
      <c r="G101" s="1" t="s">
        <v>698</v>
      </c>
      <c r="H101" s="1" t="s">
        <v>698</v>
      </c>
      <c r="I101" s="1" t="s">
        <v>698</v>
      </c>
      <c r="J101" s="1">
        <f t="shared" si="6"/>
        <v>1</v>
      </c>
      <c r="L101" s="1" t="s">
        <v>722</v>
      </c>
      <c r="M101" s="7">
        <v>8</v>
      </c>
      <c r="N101" s="5" t="s">
        <v>33</v>
      </c>
      <c r="O101" s="3" t="s">
        <v>34</v>
      </c>
      <c r="P101" s="3" t="s">
        <v>14</v>
      </c>
      <c r="Q101" s="3">
        <v>1</v>
      </c>
      <c r="R101" s="43">
        <f>VLOOKUP('22'!O101,Malzemeler!C:D,2,0)</f>
        <v>23.17</v>
      </c>
      <c r="S101" s="43">
        <f t="shared" si="5"/>
        <v>23.17</v>
      </c>
    </row>
    <row r="102" spans="1:19" x14ac:dyDescent="0.35">
      <c r="A102" s="100"/>
      <c r="B102" s="1">
        <v>22</v>
      </c>
      <c r="C102" s="1" t="s">
        <v>698</v>
      </c>
      <c r="D102" s="1" t="s">
        <v>698</v>
      </c>
      <c r="E102" s="1" t="s">
        <v>698</v>
      </c>
      <c r="F102" s="1" t="s">
        <v>698</v>
      </c>
      <c r="G102" s="1" t="s">
        <v>698</v>
      </c>
      <c r="H102" s="1" t="s">
        <v>698</v>
      </c>
      <c r="I102" s="1" t="s">
        <v>698</v>
      </c>
      <c r="J102" s="1">
        <f t="shared" si="6"/>
        <v>1</v>
      </c>
      <c r="L102" s="1" t="s">
        <v>722</v>
      </c>
      <c r="M102" s="7">
        <v>9</v>
      </c>
      <c r="N102" s="1" t="s">
        <v>35</v>
      </c>
      <c r="O102" s="3" t="s">
        <v>36</v>
      </c>
      <c r="P102" s="3" t="s">
        <v>14</v>
      </c>
      <c r="Q102" s="3">
        <v>1</v>
      </c>
      <c r="R102" s="43">
        <f>VLOOKUP('22'!O102,Malzemeler!C:D,2,0)</f>
        <v>130.16</v>
      </c>
      <c r="S102" s="43">
        <f t="shared" si="5"/>
        <v>130.16</v>
      </c>
    </row>
    <row r="103" spans="1:19" x14ac:dyDescent="0.35">
      <c r="A103" s="100"/>
      <c r="B103" s="1">
        <v>22</v>
      </c>
      <c r="C103" s="1" t="s">
        <v>698</v>
      </c>
      <c r="D103" s="1" t="s">
        <v>698</v>
      </c>
      <c r="E103" s="1" t="s">
        <v>698</v>
      </c>
      <c r="F103" s="1" t="s">
        <v>698</v>
      </c>
      <c r="G103" s="1" t="s">
        <v>698</v>
      </c>
      <c r="H103" s="1" t="s">
        <v>698</v>
      </c>
      <c r="I103" s="1" t="s">
        <v>698</v>
      </c>
      <c r="J103" s="1">
        <f t="shared" si="6"/>
        <v>1</v>
      </c>
      <c r="L103" s="1" t="s">
        <v>722</v>
      </c>
      <c r="M103" s="7">
        <v>10</v>
      </c>
      <c r="N103" s="5" t="s">
        <v>37</v>
      </c>
      <c r="O103" s="3" t="s">
        <v>38</v>
      </c>
      <c r="P103" s="3" t="s">
        <v>14</v>
      </c>
      <c r="Q103" s="3">
        <v>1</v>
      </c>
      <c r="R103" s="43">
        <f>VLOOKUP('22'!O103,Malzemeler!C:D,2,0)</f>
        <v>130.16</v>
      </c>
      <c r="S103" s="43">
        <f t="shared" si="5"/>
        <v>130.16</v>
      </c>
    </row>
    <row r="104" spans="1:19" x14ac:dyDescent="0.35">
      <c r="A104" s="100"/>
      <c r="B104" s="1">
        <v>22</v>
      </c>
      <c r="C104" s="1" t="s">
        <v>698</v>
      </c>
      <c r="D104" s="1" t="s">
        <v>698</v>
      </c>
      <c r="E104" s="1" t="s">
        <v>698</v>
      </c>
      <c r="F104" s="1" t="s">
        <v>698</v>
      </c>
      <c r="G104" s="1" t="s">
        <v>698</v>
      </c>
      <c r="H104" s="1" t="s">
        <v>698</v>
      </c>
      <c r="I104" s="1" t="s">
        <v>698</v>
      </c>
      <c r="J104" s="1">
        <f t="shared" si="6"/>
        <v>1</v>
      </c>
      <c r="L104" s="1" t="s">
        <v>722</v>
      </c>
      <c r="M104" s="7">
        <v>11</v>
      </c>
      <c r="N104" s="5" t="s">
        <v>39</v>
      </c>
      <c r="O104" s="3" t="s">
        <v>40</v>
      </c>
      <c r="P104" s="3" t="s">
        <v>14</v>
      </c>
      <c r="Q104" s="3">
        <v>2</v>
      </c>
      <c r="R104" s="43">
        <f>VLOOKUP('22'!O104,Malzemeler!C:D,2,0)</f>
        <v>4.7300000000000004</v>
      </c>
      <c r="S104" s="43">
        <f t="shared" si="5"/>
        <v>9.4600000000000009</v>
      </c>
    </row>
    <row r="105" spans="1:19" x14ac:dyDescent="0.35">
      <c r="A105" s="100"/>
      <c r="B105" s="1">
        <v>22</v>
      </c>
      <c r="C105" s="1" t="s">
        <v>698</v>
      </c>
      <c r="D105" s="1" t="s">
        <v>698</v>
      </c>
      <c r="E105" s="1" t="s">
        <v>698</v>
      </c>
      <c r="F105" s="1" t="s">
        <v>698</v>
      </c>
      <c r="G105" s="1" t="s">
        <v>698</v>
      </c>
      <c r="H105" s="1" t="s">
        <v>698</v>
      </c>
      <c r="I105" s="1" t="s">
        <v>698</v>
      </c>
      <c r="J105" s="1">
        <f t="shared" si="6"/>
        <v>1</v>
      </c>
      <c r="L105" s="1" t="s">
        <v>722</v>
      </c>
      <c r="M105" s="7">
        <v>12</v>
      </c>
      <c r="N105" s="5" t="s">
        <v>41</v>
      </c>
      <c r="O105" s="3" t="s">
        <v>42</v>
      </c>
      <c r="P105" s="3" t="s">
        <v>14</v>
      </c>
      <c r="Q105" s="3">
        <v>2</v>
      </c>
      <c r="R105" s="43">
        <f>VLOOKUP('22'!O105,Malzemeler!C:D,2,0)</f>
        <v>155.05000000000001</v>
      </c>
      <c r="S105" s="43">
        <f t="shared" si="5"/>
        <v>310.10000000000002</v>
      </c>
    </row>
    <row r="106" spans="1:19" x14ac:dyDescent="0.35">
      <c r="A106" s="100"/>
      <c r="B106" s="1">
        <v>22</v>
      </c>
      <c r="C106" s="1" t="s">
        <v>698</v>
      </c>
      <c r="D106" s="1" t="s">
        <v>698</v>
      </c>
      <c r="E106" s="1" t="s">
        <v>698</v>
      </c>
      <c r="F106" s="1" t="s">
        <v>698</v>
      </c>
      <c r="G106" s="1" t="s">
        <v>698</v>
      </c>
      <c r="H106" s="1" t="s">
        <v>698</v>
      </c>
      <c r="I106" s="1" t="s">
        <v>698</v>
      </c>
      <c r="J106" s="1">
        <f t="shared" si="6"/>
        <v>1</v>
      </c>
      <c r="L106" s="1" t="s">
        <v>722</v>
      </c>
      <c r="M106" s="7">
        <v>13</v>
      </c>
      <c r="N106" s="5" t="s">
        <v>43</v>
      </c>
      <c r="O106" s="3" t="s">
        <v>44</v>
      </c>
      <c r="P106" s="3" t="s">
        <v>14</v>
      </c>
      <c r="Q106" s="3">
        <v>1</v>
      </c>
      <c r="R106" s="43">
        <f>VLOOKUP('22'!O106,Malzemeler!C:D,2,0)</f>
        <v>238.61</v>
      </c>
      <c r="S106" s="43">
        <f t="shared" si="5"/>
        <v>238.61</v>
      </c>
    </row>
    <row r="107" spans="1:19" x14ac:dyDescent="0.35">
      <c r="A107" s="100"/>
      <c r="B107" s="1">
        <v>22</v>
      </c>
      <c r="C107" s="1" t="s">
        <v>698</v>
      </c>
      <c r="D107" s="1" t="s">
        <v>698</v>
      </c>
      <c r="E107" s="1" t="s">
        <v>698</v>
      </c>
      <c r="F107" s="1" t="s">
        <v>698</v>
      </c>
      <c r="G107" s="1" t="s">
        <v>698</v>
      </c>
      <c r="H107" s="1" t="s">
        <v>698</v>
      </c>
      <c r="I107" s="1" t="s">
        <v>698</v>
      </c>
      <c r="J107" s="1">
        <f t="shared" si="6"/>
        <v>1</v>
      </c>
      <c r="L107" s="1" t="s">
        <v>722</v>
      </c>
      <c r="M107" s="7">
        <v>14</v>
      </c>
      <c r="N107" s="5" t="s">
        <v>45</v>
      </c>
      <c r="O107" s="3" t="s">
        <v>46</v>
      </c>
      <c r="P107" s="3" t="s">
        <v>14</v>
      </c>
      <c r="Q107" s="3">
        <v>1</v>
      </c>
      <c r="R107" s="43">
        <f>VLOOKUP('22'!O107,Malzemeler!C:D,2,0)</f>
        <v>10.84</v>
      </c>
      <c r="S107" s="43">
        <f t="shared" si="5"/>
        <v>10.84</v>
      </c>
    </row>
    <row r="108" spans="1:19" x14ac:dyDescent="0.35">
      <c r="A108" s="100"/>
      <c r="B108" s="1">
        <v>22</v>
      </c>
      <c r="C108" s="1" t="s">
        <v>698</v>
      </c>
      <c r="D108" s="1" t="s">
        <v>698</v>
      </c>
      <c r="E108" s="1" t="s">
        <v>698</v>
      </c>
      <c r="F108" s="1" t="s">
        <v>698</v>
      </c>
      <c r="G108" s="1" t="s">
        <v>698</v>
      </c>
      <c r="H108" s="1" t="s">
        <v>698</v>
      </c>
      <c r="I108" s="1" t="s">
        <v>698</v>
      </c>
      <c r="J108" s="1">
        <f t="shared" si="6"/>
        <v>1</v>
      </c>
      <c r="L108" s="1" t="s">
        <v>722</v>
      </c>
      <c r="M108" s="7">
        <v>15</v>
      </c>
      <c r="N108" s="5" t="s">
        <v>47</v>
      </c>
      <c r="O108" s="3" t="s">
        <v>48</v>
      </c>
      <c r="P108" s="3" t="s">
        <v>14</v>
      </c>
      <c r="Q108" s="3">
        <v>1</v>
      </c>
      <c r="R108" s="43">
        <f>VLOOKUP('22'!O108,Malzemeler!C:D,2,0)</f>
        <v>22.83</v>
      </c>
      <c r="S108" s="43">
        <f t="shared" si="5"/>
        <v>22.83</v>
      </c>
    </row>
    <row r="109" spans="1:19" x14ac:dyDescent="0.35">
      <c r="A109" s="100"/>
      <c r="B109" s="1">
        <v>22</v>
      </c>
      <c r="C109" s="1" t="s">
        <v>698</v>
      </c>
      <c r="D109" s="1" t="s">
        <v>698</v>
      </c>
      <c r="E109" s="1" t="s">
        <v>698</v>
      </c>
      <c r="F109" s="1" t="s">
        <v>698</v>
      </c>
      <c r="G109" s="1" t="s">
        <v>698</v>
      </c>
      <c r="H109" s="1" t="s">
        <v>698</v>
      </c>
      <c r="I109" s="1" t="s">
        <v>698</v>
      </c>
      <c r="J109" s="1">
        <f t="shared" si="6"/>
        <v>1</v>
      </c>
      <c r="L109" s="1" t="s">
        <v>722</v>
      </c>
      <c r="M109" s="7">
        <v>16</v>
      </c>
      <c r="N109" s="5" t="s">
        <v>593</v>
      </c>
      <c r="O109" s="3" t="s">
        <v>592</v>
      </c>
      <c r="P109" s="3" t="s">
        <v>14</v>
      </c>
      <c r="Q109" s="3">
        <v>1</v>
      </c>
      <c r="R109" s="43">
        <f>VLOOKUP('22'!O109,Malzemeler!C:D,2,0)</f>
        <v>0</v>
      </c>
      <c r="S109" s="43">
        <f t="shared" si="5"/>
        <v>0</v>
      </c>
    </row>
    <row r="110" spans="1:19" x14ac:dyDescent="0.35">
      <c r="A110" s="100"/>
      <c r="B110" s="1">
        <v>22</v>
      </c>
      <c r="C110" s="1" t="s">
        <v>698</v>
      </c>
      <c r="D110" s="1" t="s">
        <v>698</v>
      </c>
      <c r="E110" s="1" t="s">
        <v>698</v>
      </c>
      <c r="F110" s="1" t="s">
        <v>698</v>
      </c>
      <c r="G110" s="1" t="s">
        <v>698</v>
      </c>
      <c r="H110" s="1" t="s">
        <v>698</v>
      </c>
      <c r="I110" s="1" t="s">
        <v>698</v>
      </c>
      <c r="J110" s="1">
        <f t="shared" si="6"/>
        <v>1</v>
      </c>
      <c r="L110" s="1" t="s">
        <v>722</v>
      </c>
      <c r="M110" s="7">
        <v>17</v>
      </c>
      <c r="N110" s="5" t="s">
        <v>594</v>
      </c>
      <c r="O110" s="3" t="s">
        <v>595</v>
      </c>
      <c r="P110" s="3" t="s">
        <v>14</v>
      </c>
      <c r="Q110" s="3">
        <v>1</v>
      </c>
      <c r="R110" s="43">
        <f>VLOOKUP('22'!O110,Malzemeler!C:D,2,0)</f>
        <v>0</v>
      </c>
      <c r="S110" s="43">
        <f t="shared" si="5"/>
        <v>0</v>
      </c>
    </row>
    <row r="111" spans="1:19" x14ac:dyDescent="0.35">
      <c r="A111" s="100"/>
      <c r="B111" s="1">
        <v>22</v>
      </c>
      <c r="C111" s="1" t="s">
        <v>698</v>
      </c>
      <c r="D111" s="1" t="s">
        <v>698</v>
      </c>
      <c r="E111" s="1" t="s">
        <v>698</v>
      </c>
      <c r="F111" s="1" t="s">
        <v>698</v>
      </c>
      <c r="G111" s="1" t="s">
        <v>698</v>
      </c>
      <c r="H111" s="1" t="s">
        <v>698</v>
      </c>
      <c r="I111" s="1" t="s">
        <v>698</v>
      </c>
      <c r="J111" s="1">
        <f t="shared" si="6"/>
        <v>1</v>
      </c>
      <c r="L111" s="1" t="s">
        <v>722</v>
      </c>
      <c r="M111" s="7">
        <v>18</v>
      </c>
      <c r="N111" s="5" t="s">
        <v>632</v>
      </c>
      <c r="O111" s="3" t="s">
        <v>650</v>
      </c>
      <c r="P111" s="3" t="s">
        <v>14</v>
      </c>
      <c r="Q111" s="3">
        <v>1</v>
      </c>
      <c r="R111" s="43">
        <f>VLOOKUP('22'!O111,Malzemeler!C:D,2,0)</f>
        <v>0</v>
      </c>
      <c r="S111" s="43">
        <f t="shared" si="5"/>
        <v>0</v>
      </c>
    </row>
    <row r="112" spans="1:19" x14ac:dyDescent="0.35">
      <c r="A112" s="100"/>
      <c r="B112" s="1">
        <v>22</v>
      </c>
      <c r="C112" s="1" t="s">
        <v>698</v>
      </c>
      <c r="D112" s="1" t="s">
        <v>698</v>
      </c>
      <c r="E112" s="1" t="s">
        <v>698</v>
      </c>
      <c r="F112" s="1" t="s">
        <v>698</v>
      </c>
      <c r="G112" s="1" t="s">
        <v>698</v>
      </c>
      <c r="H112" s="1" t="s">
        <v>698</v>
      </c>
      <c r="I112" s="1" t="s">
        <v>698</v>
      </c>
      <c r="J112" s="1">
        <f t="shared" si="6"/>
        <v>1</v>
      </c>
      <c r="L112" s="1" t="s">
        <v>722</v>
      </c>
      <c r="M112" s="7">
        <v>19</v>
      </c>
      <c r="N112" s="5" t="s">
        <v>598</v>
      </c>
      <c r="O112" s="3" t="s">
        <v>597</v>
      </c>
      <c r="P112" s="3" t="s">
        <v>14</v>
      </c>
      <c r="Q112" s="3">
        <v>1</v>
      </c>
      <c r="R112" s="43">
        <f>VLOOKUP('22'!O112,Malzemeler!C:D,2,0)</f>
        <v>0</v>
      </c>
      <c r="S112" s="43">
        <f t="shared" si="5"/>
        <v>0</v>
      </c>
    </row>
    <row r="113" spans="1:19" x14ac:dyDescent="0.35">
      <c r="A113" s="100"/>
      <c r="B113" s="1">
        <v>22</v>
      </c>
      <c r="C113" s="1" t="s">
        <v>698</v>
      </c>
      <c r="D113" s="1" t="s">
        <v>698</v>
      </c>
      <c r="E113" s="1" t="s">
        <v>698</v>
      </c>
      <c r="F113" s="1" t="s">
        <v>698</v>
      </c>
      <c r="G113" s="1" t="s">
        <v>698</v>
      </c>
      <c r="H113" s="1" t="s">
        <v>698</v>
      </c>
      <c r="I113" s="1" t="s">
        <v>698</v>
      </c>
      <c r="J113" s="1">
        <f t="shared" si="6"/>
        <v>1</v>
      </c>
      <c r="L113" s="1" t="s">
        <v>722</v>
      </c>
      <c r="M113" s="7">
        <v>20</v>
      </c>
      <c r="N113" s="5" t="s">
        <v>631</v>
      </c>
      <c r="O113" s="3" t="s">
        <v>630</v>
      </c>
      <c r="P113" s="3" t="s">
        <v>14</v>
      </c>
      <c r="Q113" s="3">
        <v>1</v>
      </c>
      <c r="R113" s="43">
        <f>VLOOKUP('22'!O113,Malzemeler!C:D,2,0)</f>
        <v>0</v>
      </c>
      <c r="S113" s="43">
        <f t="shared" si="5"/>
        <v>0</v>
      </c>
    </row>
    <row r="114" spans="1:19" x14ac:dyDescent="0.35">
      <c r="A114" s="100"/>
      <c r="B114" s="1">
        <v>22</v>
      </c>
      <c r="C114" s="1" t="s">
        <v>698</v>
      </c>
      <c r="D114" s="1" t="s">
        <v>698</v>
      </c>
      <c r="E114" s="1" t="s">
        <v>698</v>
      </c>
      <c r="F114" s="1" t="s">
        <v>698</v>
      </c>
      <c r="G114" s="1" t="s">
        <v>698</v>
      </c>
      <c r="H114" s="1" t="s">
        <v>698</v>
      </c>
      <c r="I114" s="1" t="s">
        <v>698</v>
      </c>
      <c r="J114" s="1">
        <f t="shared" si="6"/>
        <v>1</v>
      </c>
      <c r="L114" s="1" t="s">
        <v>722</v>
      </c>
      <c r="M114" s="7">
        <v>21</v>
      </c>
      <c r="N114" s="5" t="s">
        <v>678</v>
      </c>
      <c r="O114" s="3" t="s">
        <v>679</v>
      </c>
      <c r="P114" s="3" t="s">
        <v>14</v>
      </c>
      <c r="Q114" s="3">
        <v>1</v>
      </c>
      <c r="R114" s="43">
        <f>VLOOKUP('22'!O114,Malzemeler!C:D,2,0)</f>
        <v>0</v>
      </c>
      <c r="S114" s="43">
        <f t="shared" si="5"/>
        <v>0</v>
      </c>
    </row>
    <row r="115" spans="1:19" x14ac:dyDescent="0.35">
      <c r="A115" s="100"/>
      <c r="B115" s="1">
        <v>22</v>
      </c>
      <c r="C115" s="1" t="s">
        <v>698</v>
      </c>
      <c r="D115" s="1" t="s">
        <v>698</v>
      </c>
      <c r="E115" s="1" t="s">
        <v>698</v>
      </c>
      <c r="F115" s="1" t="s">
        <v>698</v>
      </c>
      <c r="G115" s="1" t="s">
        <v>698</v>
      </c>
      <c r="H115" s="1" t="s">
        <v>698</v>
      </c>
      <c r="I115" s="1" t="s">
        <v>698</v>
      </c>
      <c r="J115" s="1">
        <f t="shared" si="6"/>
        <v>1</v>
      </c>
      <c r="L115" s="1" t="s">
        <v>722</v>
      </c>
      <c r="M115" s="7">
        <v>22</v>
      </c>
      <c r="N115" s="5" t="s">
        <v>147</v>
      </c>
      <c r="O115" s="3" t="s">
        <v>263</v>
      </c>
      <c r="P115" s="3" t="s">
        <v>14</v>
      </c>
      <c r="Q115" s="3">
        <v>2</v>
      </c>
      <c r="R115" s="43">
        <f>VLOOKUP('22'!O115,Malzemeler!C:D,2,0)</f>
        <v>20</v>
      </c>
      <c r="S115" s="43">
        <f t="shared" si="5"/>
        <v>40</v>
      </c>
    </row>
    <row r="116" spans="1:19" x14ac:dyDescent="0.35">
      <c r="A116" s="100"/>
      <c r="B116" s="1">
        <v>22</v>
      </c>
      <c r="C116" s="1" t="s">
        <v>698</v>
      </c>
      <c r="D116" s="1" t="s">
        <v>698</v>
      </c>
      <c r="E116" s="1" t="s">
        <v>698</v>
      </c>
      <c r="F116" s="1" t="s">
        <v>698</v>
      </c>
      <c r="G116" s="1" t="s">
        <v>698</v>
      </c>
      <c r="H116" s="1" t="s">
        <v>698</v>
      </c>
      <c r="I116" s="1" t="s">
        <v>698</v>
      </c>
      <c r="J116" s="1">
        <f t="shared" si="6"/>
        <v>1</v>
      </c>
      <c r="L116" s="1" t="s">
        <v>722</v>
      </c>
      <c r="M116" s="7">
        <v>23</v>
      </c>
      <c r="N116" s="5" t="s">
        <v>53</v>
      </c>
      <c r="O116" s="3" t="str">
        <f>VLOOKUP(N116,Malzemeler!B:C,2,)</f>
        <v>R27LM24ASR263</v>
      </c>
      <c r="P116" s="3" t="s">
        <v>14</v>
      </c>
      <c r="Q116" s="3">
        <v>2</v>
      </c>
      <c r="R116" s="43">
        <f>VLOOKUP('22'!O116,Malzemeler!C:D,2,0)</f>
        <v>65.58</v>
      </c>
      <c r="S116" s="43">
        <f t="shared" si="5"/>
        <v>131.16</v>
      </c>
    </row>
    <row r="117" spans="1:19" x14ac:dyDescent="0.35">
      <c r="A117" s="100"/>
      <c r="B117" s="1">
        <v>22</v>
      </c>
      <c r="C117" s="1" t="s">
        <v>698</v>
      </c>
      <c r="D117" s="1" t="s">
        <v>698</v>
      </c>
      <c r="E117" s="1" t="s">
        <v>698</v>
      </c>
      <c r="F117" s="1" t="s">
        <v>698</v>
      </c>
      <c r="G117" s="1" t="s">
        <v>698</v>
      </c>
      <c r="H117" s="1" t="s">
        <v>698</v>
      </c>
      <c r="I117" s="1" t="s">
        <v>698</v>
      </c>
      <c r="J117" s="1">
        <f t="shared" si="6"/>
        <v>1</v>
      </c>
      <c r="L117" s="1" t="s">
        <v>722</v>
      </c>
      <c r="M117" s="7">
        <v>24</v>
      </c>
      <c r="N117" s="5" t="s">
        <v>589</v>
      </c>
      <c r="O117" s="3" t="str">
        <f>VLOOKUP(N117,Malzemeler!B:C,2,)</f>
        <v>R27DMLM24AS45</v>
      </c>
      <c r="P117" s="3" t="s">
        <v>14</v>
      </c>
      <c r="Q117" s="3">
        <v>3</v>
      </c>
      <c r="R117" s="43">
        <f>VLOOKUP('22'!O117,Malzemeler!C:D,2,0)</f>
        <v>59.21</v>
      </c>
      <c r="S117" s="43">
        <f t="shared" si="5"/>
        <v>177.63</v>
      </c>
    </row>
    <row r="118" spans="1:19" x14ac:dyDescent="0.35">
      <c r="A118" s="100"/>
      <c r="B118" s="1">
        <v>22</v>
      </c>
      <c r="C118" s="1" t="s">
        <v>698</v>
      </c>
      <c r="D118" s="1" t="s">
        <v>698</v>
      </c>
      <c r="E118" s="1" t="s">
        <v>698</v>
      </c>
      <c r="F118" s="1" t="s">
        <v>698</v>
      </c>
      <c r="G118" s="1" t="s">
        <v>698</v>
      </c>
      <c r="H118" s="1" t="s">
        <v>698</v>
      </c>
      <c r="I118" s="1" t="s">
        <v>698</v>
      </c>
      <c r="J118" s="1">
        <f t="shared" si="6"/>
        <v>1</v>
      </c>
      <c r="L118" s="1" t="s">
        <v>722</v>
      </c>
      <c r="M118" s="7">
        <v>25</v>
      </c>
      <c r="N118" s="5" t="s">
        <v>54</v>
      </c>
      <c r="O118" s="3" t="str">
        <f>VLOOKUP(N118,Malzemeler!B:C,2,)</f>
        <v>R27000LR24ASR</v>
      </c>
      <c r="P118" s="3" t="s">
        <v>14</v>
      </c>
      <c r="Q118" s="3">
        <v>1</v>
      </c>
      <c r="R118" s="43">
        <f>VLOOKUP('22'!O118,Malzemeler!C:D,2,0)</f>
        <v>77.55</v>
      </c>
      <c r="S118" s="43">
        <f t="shared" si="5"/>
        <v>77.55</v>
      </c>
    </row>
    <row r="119" spans="1:19" x14ac:dyDescent="0.35">
      <c r="A119" s="100"/>
      <c r="B119" s="1">
        <v>22</v>
      </c>
      <c r="C119" s="1" t="s">
        <v>698</v>
      </c>
      <c r="D119" s="1" t="s">
        <v>698</v>
      </c>
      <c r="E119" s="1" t="s">
        <v>698</v>
      </c>
      <c r="F119" s="1" t="s">
        <v>698</v>
      </c>
      <c r="G119" s="1" t="s">
        <v>698</v>
      </c>
      <c r="H119" s="1" t="s">
        <v>698</v>
      </c>
      <c r="I119" s="1" t="s">
        <v>698</v>
      </c>
      <c r="J119" s="1">
        <f t="shared" si="6"/>
        <v>1</v>
      </c>
      <c r="L119" s="1" t="s">
        <v>722</v>
      </c>
      <c r="M119" s="7">
        <v>26</v>
      </c>
      <c r="N119" s="5" t="s">
        <v>217</v>
      </c>
      <c r="O119" s="3" t="str">
        <f>VLOOKUP(N119,Malzemeler!B:C,2,)</f>
        <v>R27VG30203200</v>
      </c>
      <c r="P119" s="3" t="s">
        <v>14</v>
      </c>
      <c r="Q119" s="3">
        <v>1</v>
      </c>
      <c r="R119" s="43">
        <f>VLOOKUP('22'!O119,Malzemeler!C:D,2,0)</f>
        <v>60.72</v>
      </c>
      <c r="S119" s="43">
        <f t="shared" si="5"/>
        <v>60.72</v>
      </c>
    </row>
    <row r="120" spans="1:19" x14ac:dyDescent="0.35">
      <c r="A120" s="100"/>
      <c r="B120" s="1">
        <v>22</v>
      </c>
      <c r="C120" s="1" t="s">
        <v>698</v>
      </c>
      <c r="D120" s="1" t="s">
        <v>698</v>
      </c>
      <c r="E120" s="1" t="s">
        <v>698</v>
      </c>
      <c r="F120" s="1" t="s">
        <v>698</v>
      </c>
      <c r="G120" s="1" t="s">
        <v>698</v>
      </c>
      <c r="H120" s="1" t="s">
        <v>698</v>
      </c>
      <c r="I120" s="1" t="s">
        <v>698</v>
      </c>
      <c r="J120" s="1">
        <f t="shared" si="4"/>
        <v>1</v>
      </c>
      <c r="L120" s="1" t="s">
        <v>722</v>
      </c>
      <c r="M120" s="7">
        <v>27</v>
      </c>
      <c r="N120" s="5" t="s">
        <v>683</v>
      </c>
      <c r="O120" s="3" t="s">
        <v>692</v>
      </c>
      <c r="P120" s="3" t="s">
        <v>14</v>
      </c>
      <c r="Q120" s="10">
        <v>1</v>
      </c>
      <c r="R120" s="43">
        <f>VLOOKUP('22'!O120,Malzemeler!C:D,2,0)</f>
        <v>0</v>
      </c>
      <c r="S120" s="43">
        <f t="shared" si="5"/>
        <v>0</v>
      </c>
    </row>
    <row r="121" spans="1:19" x14ac:dyDescent="0.35">
      <c r="A121" s="100"/>
      <c r="B121" s="1">
        <v>22</v>
      </c>
      <c r="C121" s="1" t="s">
        <v>698</v>
      </c>
      <c r="D121" s="1" t="s">
        <v>698</v>
      </c>
      <c r="E121" s="1" t="s">
        <v>698</v>
      </c>
      <c r="F121" s="1" t="s">
        <v>698</v>
      </c>
      <c r="G121" s="1" t="s">
        <v>698</v>
      </c>
      <c r="H121" s="1" t="s">
        <v>698</v>
      </c>
      <c r="I121" s="1" t="s">
        <v>698</v>
      </c>
      <c r="J121" s="1">
        <f t="shared" si="4"/>
        <v>1</v>
      </c>
      <c r="L121" s="1" t="s">
        <v>722</v>
      </c>
      <c r="M121" s="7">
        <v>28</v>
      </c>
      <c r="N121" s="1" t="s">
        <v>626</v>
      </c>
      <c r="O121" s="3" t="s">
        <v>627</v>
      </c>
      <c r="P121" s="3" t="s">
        <v>14</v>
      </c>
      <c r="Q121" s="3">
        <v>1</v>
      </c>
      <c r="R121" s="43">
        <f>VLOOKUP('22'!O121,Malzemeler!C:D,2,0)</f>
        <v>0</v>
      </c>
      <c r="S121" s="43">
        <f t="shared" si="5"/>
        <v>0</v>
      </c>
    </row>
    <row r="122" spans="1:19" x14ac:dyDescent="0.35">
      <c r="A122" s="100"/>
      <c r="B122" s="1">
        <v>22</v>
      </c>
      <c r="C122" s="1" t="s">
        <v>698</v>
      </c>
      <c r="D122" s="1" t="s">
        <v>698</v>
      </c>
      <c r="E122" s="1" t="s">
        <v>698</v>
      </c>
      <c r="F122" s="1" t="s">
        <v>698</v>
      </c>
      <c r="G122" s="1" t="s">
        <v>698</v>
      </c>
      <c r="H122" s="1" t="s">
        <v>698</v>
      </c>
      <c r="I122" s="1" t="s">
        <v>698</v>
      </c>
      <c r="J122" s="1">
        <f t="shared" ref="J122" si="7">SUBTOTAL(103,B122)</f>
        <v>1</v>
      </c>
      <c r="L122" s="1" t="s">
        <v>722</v>
      </c>
      <c r="M122" s="7">
        <v>31</v>
      </c>
      <c r="N122" s="1" t="s">
        <v>730</v>
      </c>
      <c r="O122" s="3" t="s">
        <v>729</v>
      </c>
      <c r="P122" s="3" t="s">
        <v>14</v>
      </c>
      <c r="Q122" s="3">
        <v>36</v>
      </c>
      <c r="R122" s="43">
        <f>VLOOKUP('22'!O122,Malzemeler!C:D,2,0)</f>
        <v>0</v>
      </c>
      <c r="S122" s="43">
        <f t="shared" si="5"/>
        <v>0</v>
      </c>
    </row>
    <row r="123" spans="1:19" x14ac:dyDescent="0.35">
      <c r="A123" s="41"/>
      <c r="B123" s="1">
        <v>22</v>
      </c>
      <c r="C123" s="1" t="s">
        <v>698</v>
      </c>
      <c r="D123" s="1" t="s">
        <v>698</v>
      </c>
      <c r="E123" s="1" t="s">
        <v>698</v>
      </c>
      <c r="F123" s="1" t="s">
        <v>698</v>
      </c>
      <c r="G123" s="1" t="s">
        <v>698</v>
      </c>
      <c r="H123" s="1" t="s">
        <v>698</v>
      </c>
      <c r="I123" s="1" t="s">
        <v>698</v>
      </c>
      <c r="J123" s="1">
        <f t="shared" ref="J123:J125" si="8">SUBTOTAL(103,B123)</f>
        <v>1</v>
      </c>
      <c r="L123" s="1" t="s">
        <v>722</v>
      </c>
      <c r="M123" s="7">
        <v>32</v>
      </c>
      <c r="N123" s="1" t="s">
        <v>750</v>
      </c>
      <c r="O123" s="3" t="s">
        <v>753</v>
      </c>
      <c r="P123" s="3" t="s">
        <v>135</v>
      </c>
      <c r="Q123" s="3">
        <v>25</v>
      </c>
      <c r="R123" s="43">
        <f>VLOOKUP('22'!O123,Malzemeler!C:D,2,0)</f>
        <v>0</v>
      </c>
      <c r="S123" s="43">
        <f t="shared" ref="S123:S125" si="9">+R123*Q123</f>
        <v>0</v>
      </c>
    </row>
    <row r="124" spans="1:19" x14ac:dyDescent="0.35">
      <c r="A124" s="41"/>
      <c r="B124" s="1">
        <v>22</v>
      </c>
      <c r="C124" s="1" t="s">
        <v>698</v>
      </c>
      <c r="D124" s="1" t="s">
        <v>698</v>
      </c>
      <c r="E124" s="1" t="s">
        <v>698</v>
      </c>
      <c r="F124" s="1" t="s">
        <v>698</v>
      </c>
      <c r="G124" s="1" t="s">
        <v>698</v>
      </c>
      <c r="H124" s="1" t="s">
        <v>698</v>
      </c>
      <c r="I124" s="1" t="s">
        <v>698</v>
      </c>
      <c r="J124" s="1">
        <f t="shared" si="8"/>
        <v>1</v>
      </c>
      <c r="L124" s="1" t="s">
        <v>722</v>
      </c>
      <c r="M124" s="7">
        <v>33</v>
      </c>
      <c r="N124" s="1" t="s">
        <v>751</v>
      </c>
      <c r="O124" s="3" t="s">
        <v>754</v>
      </c>
      <c r="P124" s="3" t="s">
        <v>135</v>
      </c>
      <c r="Q124" s="3">
        <v>130</v>
      </c>
      <c r="R124" s="43">
        <f>VLOOKUP('22'!O124,Malzemeler!C:D,2,0)</f>
        <v>0</v>
      </c>
      <c r="S124" s="43">
        <f t="shared" si="9"/>
        <v>0</v>
      </c>
    </row>
    <row r="125" spans="1:19" x14ac:dyDescent="0.35">
      <c r="A125" s="41"/>
      <c r="B125" s="1">
        <v>22</v>
      </c>
      <c r="C125" s="1" t="s">
        <v>698</v>
      </c>
      <c r="D125" s="1" t="s">
        <v>698</v>
      </c>
      <c r="E125" s="1" t="s">
        <v>698</v>
      </c>
      <c r="F125" s="1" t="s">
        <v>698</v>
      </c>
      <c r="G125" s="1" t="s">
        <v>698</v>
      </c>
      <c r="H125" s="1" t="s">
        <v>698</v>
      </c>
      <c r="I125" s="1" t="s">
        <v>698</v>
      </c>
      <c r="J125" s="1">
        <f t="shared" si="8"/>
        <v>1</v>
      </c>
      <c r="L125" s="1" t="s">
        <v>722</v>
      </c>
      <c r="M125" s="7">
        <v>34</v>
      </c>
      <c r="N125" s="1" t="s">
        <v>752</v>
      </c>
      <c r="O125" s="3" t="s">
        <v>755</v>
      </c>
      <c r="P125" s="3" t="s">
        <v>135</v>
      </c>
      <c r="Q125" s="3">
        <v>35</v>
      </c>
      <c r="R125" s="43">
        <f>VLOOKUP('22'!O125,Malzemeler!C:D,2,0)</f>
        <v>0</v>
      </c>
      <c r="S125" s="43">
        <f t="shared" si="9"/>
        <v>0</v>
      </c>
    </row>
    <row r="126" spans="1:19" ht="15" customHeight="1" x14ac:dyDescent="0.35">
      <c r="A126" s="97" t="s">
        <v>719</v>
      </c>
      <c r="B126" s="1">
        <v>22</v>
      </c>
      <c r="C126" s="1" t="s">
        <v>698</v>
      </c>
      <c r="D126" s="1">
        <v>49</v>
      </c>
      <c r="E126" s="1">
        <v>5</v>
      </c>
      <c r="F126" s="1" t="s">
        <v>698</v>
      </c>
      <c r="G126" s="1" t="s">
        <v>698</v>
      </c>
      <c r="H126" s="1" t="s">
        <v>698</v>
      </c>
      <c r="I126" s="1" t="s">
        <v>698</v>
      </c>
      <c r="J126" s="1">
        <f t="shared" ref="J126:J139" si="10">SUBTOTAL(103,B126)</f>
        <v>1</v>
      </c>
      <c r="L126" s="1" t="s">
        <v>719</v>
      </c>
      <c r="M126" s="7">
        <v>1</v>
      </c>
      <c r="N126" s="1" t="s">
        <v>211</v>
      </c>
      <c r="O126" s="3" t="s">
        <v>212</v>
      </c>
      <c r="P126" s="3" t="s">
        <v>14</v>
      </c>
      <c r="Q126" s="3">
        <v>2</v>
      </c>
      <c r="R126" s="43">
        <f>VLOOKUP('22'!O126,Malzemeler!C:D,2,0)</f>
        <v>4.43</v>
      </c>
      <c r="S126" s="43">
        <f t="shared" si="5"/>
        <v>8.86</v>
      </c>
    </row>
    <row r="127" spans="1:19" x14ac:dyDescent="0.35">
      <c r="A127" s="97"/>
      <c r="B127" s="1">
        <v>22</v>
      </c>
      <c r="C127" s="1" t="s">
        <v>698</v>
      </c>
      <c r="D127" s="1">
        <v>49</v>
      </c>
      <c r="E127" s="1">
        <v>5</v>
      </c>
      <c r="F127" s="1" t="s">
        <v>698</v>
      </c>
      <c r="G127" s="1" t="s">
        <v>698</v>
      </c>
      <c r="H127" s="1" t="s">
        <v>698</v>
      </c>
      <c r="I127" s="1" t="s">
        <v>698</v>
      </c>
      <c r="J127" s="1">
        <f t="shared" si="10"/>
        <v>1</v>
      </c>
      <c r="L127" s="1" t="s">
        <v>719</v>
      </c>
      <c r="M127" s="7">
        <v>2</v>
      </c>
      <c r="N127" s="5" t="s">
        <v>213</v>
      </c>
      <c r="O127" s="3" t="s">
        <v>214</v>
      </c>
      <c r="P127" s="3" t="s">
        <v>14</v>
      </c>
      <c r="Q127" s="3">
        <v>2</v>
      </c>
      <c r="R127" s="43">
        <f>VLOOKUP('22'!O127,Malzemeler!C:D,2,0)</f>
        <v>3.04</v>
      </c>
      <c r="S127" s="43">
        <f t="shared" si="5"/>
        <v>6.08</v>
      </c>
    </row>
    <row r="128" spans="1:19" x14ac:dyDescent="0.35">
      <c r="A128" s="97"/>
      <c r="B128" s="1">
        <v>22</v>
      </c>
      <c r="C128" s="1" t="s">
        <v>698</v>
      </c>
      <c r="D128" s="1">
        <v>49</v>
      </c>
      <c r="E128" s="1">
        <v>5</v>
      </c>
      <c r="F128" s="1" t="s">
        <v>698</v>
      </c>
      <c r="G128" s="1" t="s">
        <v>698</v>
      </c>
      <c r="H128" s="1" t="s">
        <v>698</v>
      </c>
      <c r="I128" s="1" t="s">
        <v>698</v>
      </c>
      <c r="J128" s="1">
        <f t="shared" si="10"/>
        <v>1</v>
      </c>
      <c r="L128" s="1" t="s">
        <v>719</v>
      </c>
      <c r="M128" s="7">
        <v>3</v>
      </c>
      <c r="N128" s="5" t="s">
        <v>575</v>
      </c>
      <c r="O128" s="3" t="s">
        <v>577</v>
      </c>
      <c r="P128" s="3" t="s">
        <v>14</v>
      </c>
      <c r="Q128" s="3">
        <v>2</v>
      </c>
      <c r="R128" s="43">
        <f>VLOOKUP('22'!O128,Malzemeler!C:D,2,0)</f>
        <v>6.91</v>
      </c>
      <c r="S128" s="43">
        <f t="shared" si="5"/>
        <v>13.82</v>
      </c>
    </row>
    <row r="129" spans="1:19" x14ac:dyDescent="0.35">
      <c r="A129" s="97"/>
      <c r="B129" s="1">
        <v>22</v>
      </c>
      <c r="C129" s="1" t="s">
        <v>698</v>
      </c>
      <c r="D129" s="1">
        <v>49</v>
      </c>
      <c r="E129" s="1">
        <v>5</v>
      </c>
      <c r="F129" s="1" t="s">
        <v>698</v>
      </c>
      <c r="G129" s="1" t="s">
        <v>698</v>
      </c>
      <c r="H129" s="1" t="s">
        <v>698</v>
      </c>
      <c r="I129" s="1" t="s">
        <v>698</v>
      </c>
      <c r="J129" s="1">
        <f t="shared" si="10"/>
        <v>1</v>
      </c>
      <c r="L129" s="1" t="s">
        <v>719</v>
      </c>
      <c r="M129" s="7">
        <v>4</v>
      </c>
      <c r="N129" s="5" t="s">
        <v>576</v>
      </c>
      <c r="O129" s="3" t="s">
        <v>578</v>
      </c>
      <c r="P129" s="3" t="s">
        <v>14</v>
      </c>
      <c r="Q129" s="3">
        <v>2</v>
      </c>
      <c r="R129" s="43">
        <f>VLOOKUP('22'!O129,Malzemeler!C:D,2,0)</f>
        <v>4.47</v>
      </c>
      <c r="S129" s="43">
        <f t="shared" si="5"/>
        <v>8.94</v>
      </c>
    </row>
    <row r="130" spans="1:19" x14ac:dyDescent="0.35">
      <c r="A130" s="97"/>
      <c r="B130" s="1">
        <v>22</v>
      </c>
      <c r="C130" s="1" t="s">
        <v>698</v>
      </c>
      <c r="D130" s="1">
        <v>49</v>
      </c>
      <c r="E130" s="1">
        <v>5</v>
      </c>
      <c r="F130" s="1" t="s">
        <v>698</v>
      </c>
      <c r="G130" s="1" t="s">
        <v>698</v>
      </c>
      <c r="H130" s="1" t="s">
        <v>698</v>
      </c>
      <c r="I130" s="1" t="s">
        <v>698</v>
      </c>
      <c r="J130" s="1">
        <f t="shared" si="10"/>
        <v>1</v>
      </c>
      <c r="L130" s="1" t="s">
        <v>719</v>
      </c>
      <c r="M130" s="7">
        <v>5</v>
      </c>
      <c r="N130" s="5" t="s">
        <v>459</v>
      </c>
      <c r="O130" s="3" t="s">
        <v>460</v>
      </c>
      <c r="P130" s="3" t="s">
        <v>14</v>
      </c>
      <c r="Q130" s="3">
        <v>2</v>
      </c>
      <c r="R130" s="43">
        <f>VLOOKUP('22'!O130,Malzemeler!C:D,2,0)</f>
        <v>4.55</v>
      </c>
      <c r="S130" s="43">
        <f t="shared" si="5"/>
        <v>9.1</v>
      </c>
    </row>
    <row r="131" spans="1:19" x14ac:dyDescent="0.35">
      <c r="A131" s="97"/>
      <c r="B131" s="1">
        <v>22</v>
      </c>
      <c r="C131" s="1" t="s">
        <v>698</v>
      </c>
      <c r="D131" s="1">
        <v>49</v>
      </c>
      <c r="E131" s="1">
        <v>5</v>
      </c>
      <c r="F131" s="1" t="s">
        <v>698</v>
      </c>
      <c r="G131" s="1" t="s">
        <v>698</v>
      </c>
      <c r="H131" s="1" t="s">
        <v>698</v>
      </c>
      <c r="I131" s="1" t="s">
        <v>698</v>
      </c>
      <c r="J131" s="1">
        <f t="shared" si="10"/>
        <v>1</v>
      </c>
      <c r="L131" s="1" t="s">
        <v>719</v>
      </c>
      <c r="M131" s="7">
        <v>6</v>
      </c>
      <c r="N131" s="5" t="s">
        <v>461</v>
      </c>
      <c r="O131" s="3" t="s">
        <v>462</v>
      </c>
      <c r="P131" s="3" t="s">
        <v>14</v>
      </c>
      <c r="Q131" s="3">
        <v>2</v>
      </c>
      <c r="R131" s="43">
        <f>VLOOKUP('22'!O131,Malzemeler!C:D,2,0)</f>
        <v>2.96</v>
      </c>
      <c r="S131" s="43">
        <f t="shared" si="5"/>
        <v>5.92</v>
      </c>
    </row>
    <row r="132" spans="1:19" x14ac:dyDescent="0.35">
      <c r="A132" s="97"/>
      <c r="B132" s="1">
        <v>22</v>
      </c>
      <c r="C132" s="1" t="s">
        <v>698</v>
      </c>
      <c r="D132" s="1">
        <v>47</v>
      </c>
      <c r="E132" s="1">
        <v>5</v>
      </c>
      <c r="F132" s="1" t="s">
        <v>698</v>
      </c>
      <c r="G132" s="1" t="s">
        <v>698</v>
      </c>
      <c r="H132" s="1" t="s">
        <v>698</v>
      </c>
      <c r="I132" s="1" t="s">
        <v>698</v>
      </c>
      <c r="J132" s="1">
        <f t="shared" si="10"/>
        <v>1</v>
      </c>
      <c r="L132" s="1" t="s">
        <v>719</v>
      </c>
      <c r="M132" s="7">
        <v>1</v>
      </c>
      <c r="N132" s="1" t="s">
        <v>211</v>
      </c>
      <c r="O132" s="3" t="s">
        <v>212</v>
      </c>
      <c r="P132" s="3" t="s">
        <v>14</v>
      </c>
      <c r="Q132" s="3">
        <v>2</v>
      </c>
      <c r="R132" s="43">
        <f>VLOOKUP('22'!O132,Malzemeler!C:D,2,0)</f>
        <v>4.43</v>
      </c>
      <c r="S132" s="43">
        <f t="shared" si="5"/>
        <v>8.86</v>
      </c>
    </row>
    <row r="133" spans="1:19" x14ac:dyDescent="0.35">
      <c r="A133" s="97"/>
      <c r="B133" s="1">
        <v>22</v>
      </c>
      <c r="C133" s="1" t="s">
        <v>698</v>
      </c>
      <c r="D133" s="1">
        <v>47</v>
      </c>
      <c r="E133" s="1">
        <v>5</v>
      </c>
      <c r="F133" s="1" t="s">
        <v>698</v>
      </c>
      <c r="G133" s="1" t="s">
        <v>698</v>
      </c>
      <c r="H133" s="1" t="s">
        <v>698</v>
      </c>
      <c r="I133" s="1" t="s">
        <v>698</v>
      </c>
      <c r="J133" s="1">
        <f t="shared" si="10"/>
        <v>1</v>
      </c>
      <c r="L133" s="1" t="s">
        <v>719</v>
      </c>
      <c r="M133" s="7">
        <v>2</v>
      </c>
      <c r="N133" s="5" t="s">
        <v>213</v>
      </c>
      <c r="O133" s="3" t="s">
        <v>214</v>
      </c>
      <c r="P133" s="3" t="s">
        <v>14</v>
      </c>
      <c r="Q133" s="3">
        <v>2</v>
      </c>
      <c r="R133" s="43">
        <f>VLOOKUP('22'!O133,Malzemeler!C:D,2,0)</f>
        <v>3.04</v>
      </c>
      <c r="S133" s="43">
        <f t="shared" ref="S133:S161" si="11">+R133*Q133</f>
        <v>6.08</v>
      </c>
    </row>
    <row r="134" spans="1:19" x14ac:dyDescent="0.35">
      <c r="A134" s="97"/>
      <c r="B134" s="1">
        <v>22</v>
      </c>
      <c r="C134" s="1" t="s">
        <v>698</v>
      </c>
      <c r="D134" s="1">
        <v>47</v>
      </c>
      <c r="E134" s="1">
        <v>5</v>
      </c>
      <c r="F134" s="1" t="s">
        <v>698</v>
      </c>
      <c r="G134" s="1" t="s">
        <v>698</v>
      </c>
      <c r="H134" s="1" t="s">
        <v>698</v>
      </c>
      <c r="I134" s="1" t="s">
        <v>698</v>
      </c>
      <c r="J134" s="1">
        <f t="shared" si="10"/>
        <v>1</v>
      </c>
      <c r="L134" s="1" t="s">
        <v>719</v>
      </c>
      <c r="M134" s="7">
        <v>3</v>
      </c>
      <c r="N134" s="5" t="s">
        <v>463</v>
      </c>
      <c r="O134" s="3" t="s">
        <v>464</v>
      </c>
      <c r="P134" s="3" t="s">
        <v>14</v>
      </c>
      <c r="Q134" s="3">
        <v>2</v>
      </c>
      <c r="R134" s="43">
        <f>VLOOKUP('22'!O134,Malzemeler!C:D,2,0)</f>
        <v>7.15</v>
      </c>
      <c r="S134" s="43">
        <f t="shared" si="11"/>
        <v>14.3</v>
      </c>
    </row>
    <row r="135" spans="1:19" x14ac:dyDescent="0.35">
      <c r="A135" s="97"/>
      <c r="B135" s="1">
        <v>22</v>
      </c>
      <c r="C135" s="1" t="s">
        <v>698</v>
      </c>
      <c r="D135" s="1">
        <v>47</v>
      </c>
      <c r="E135" s="1">
        <v>5</v>
      </c>
      <c r="F135" s="1" t="s">
        <v>698</v>
      </c>
      <c r="G135" s="1" t="s">
        <v>698</v>
      </c>
      <c r="H135" s="1" t="s">
        <v>698</v>
      </c>
      <c r="I135" s="1" t="s">
        <v>698</v>
      </c>
      <c r="J135" s="1">
        <f t="shared" si="10"/>
        <v>1</v>
      </c>
      <c r="L135" s="1" t="s">
        <v>719</v>
      </c>
      <c r="M135" s="7">
        <v>4</v>
      </c>
      <c r="N135" s="5" t="s">
        <v>465</v>
      </c>
      <c r="O135" s="3" t="s">
        <v>466</v>
      </c>
      <c r="P135" s="3" t="s">
        <v>14</v>
      </c>
      <c r="Q135" s="3">
        <v>2</v>
      </c>
      <c r="R135" s="43">
        <f>VLOOKUP('22'!O135,Malzemeler!C:D,2,0)</f>
        <v>4.37</v>
      </c>
      <c r="S135" s="43">
        <f t="shared" si="11"/>
        <v>8.74</v>
      </c>
    </row>
    <row r="136" spans="1:19" x14ac:dyDescent="0.35">
      <c r="A136" s="97"/>
      <c r="B136" s="1">
        <v>22</v>
      </c>
      <c r="C136" s="1" t="s">
        <v>698</v>
      </c>
      <c r="D136" s="1">
        <v>47</v>
      </c>
      <c r="E136" s="1">
        <v>5</v>
      </c>
      <c r="F136" s="1" t="s">
        <v>698</v>
      </c>
      <c r="G136" s="1" t="s">
        <v>698</v>
      </c>
      <c r="H136" s="1" t="s">
        <v>698</v>
      </c>
      <c r="I136" s="1" t="s">
        <v>698</v>
      </c>
      <c r="J136" s="1">
        <f t="shared" si="10"/>
        <v>1</v>
      </c>
      <c r="L136" s="1" t="s">
        <v>719</v>
      </c>
      <c r="M136" s="7">
        <v>5</v>
      </c>
      <c r="N136" s="5" t="s">
        <v>459</v>
      </c>
      <c r="O136" s="3" t="s">
        <v>460</v>
      </c>
      <c r="P136" s="3" t="s">
        <v>14</v>
      </c>
      <c r="Q136" s="3">
        <v>2</v>
      </c>
      <c r="R136" s="43">
        <f>VLOOKUP('22'!O136,Malzemeler!C:D,2,0)</f>
        <v>4.55</v>
      </c>
      <c r="S136" s="43">
        <f t="shared" si="11"/>
        <v>9.1</v>
      </c>
    </row>
    <row r="137" spans="1:19" x14ac:dyDescent="0.35">
      <c r="A137" s="97"/>
      <c r="B137" s="1">
        <v>22</v>
      </c>
      <c r="C137" s="1" t="s">
        <v>698</v>
      </c>
      <c r="D137" s="1">
        <v>47</v>
      </c>
      <c r="E137" s="1">
        <v>5</v>
      </c>
      <c r="F137" s="1" t="s">
        <v>698</v>
      </c>
      <c r="G137" s="1" t="s">
        <v>698</v>
      </c>
      <c r="H137" s="1" t="s">
        <v>698</v>
      </c>
      <c r="I137" s="1" t="s">
        <v>698</v>
      </c>
      <c r="J137" s="1">
        <f t="shared" si="10"/>
        <v>1</v>
      </c>
      <c r="L137" s="1" t="s">
        <v>719</v>
      </c>
      <c r="M137" s="7">
        <v>6</v>
      </c>
      <c r="N137" s="5" t="s">
        <v>461</v>
      </c>
      <c r="O137" s="3" t="s">
        <v>462</v>
      </c>
      <c r="P137" s="3" t="s">
        <v>14</v>
      </c>
      <c r="Q137" s="3">
        <v>2</v>
      </c>
      <c r="R137" s="43">
        <f>VLOOKUP('22'!O137,Malzemeler!C:D,2,0)</f>
        <v>2.96</v>
      </c>
      <c r="S137" s="43">
        <f t="shared" si="11"/>
        <v>5.92</v>
      </c>
    </row>
    <row r="138" spans="1:19" x14ac:dyDescent="0.35">
      <c r="A138" s="97"/>
      <c r="B138" s="1">
        <v>22</v>
      </c>
      <c r="C138" s="1" t="s">
        <v>698</v>
      </c>
      <c r="D138" s="1">
        <v>5</v>
      </c>
      <c r="E138" s="1">
        <v>5</v>
      </c>
      <c r="F138" s="1" t="s">
        <v>698</v>
      </c>
      <c r="G138" s="1" t="s">
        <v>698</v>
      </c>
      <c r="H138" s="1" t="s">
        <v>698</v>
      </c>
      <c r="I138" s="1" t="s">
        <v>698</v>
      </c>
      <c r="J138" s="1">
        <f t="shared" si="10"/>
        <v>1</v>
      </c>
      <c r="L138" s="1" t="s">
        <v>719</v>
      </c>
      <c r="M138" s="7">
        <v>1</v>
      </c>
      <c r="N138" s="1" t="s">
        <v>211</v>
      </c>
      <c r="O138" s="3" t="str">
        <f>VLOOKUP(N138,Malzemeler!B:C,2,)</f>
        <v>R17PM54610610</v>
      </c>
      <c r="P138" s="3" t="s">
        <v>14</v>
      </c>
      <c r="Q138" s="3">
        <v>4</v>
      </c>
      <c r="R138" s="43">
        <f>VLOOKUP('22'!O138,Malzemeler!C:D,2,0)</f>
        <v>4.43</v>
      </c>
      <c r="S138" s="43">
        <f t="shared" si="11"/>
        <v>17.72</v>
      </c>
    </row>
    <row r="139" spans="1:19" x14ac:dyDescent="0.35">
      <c r="A139" s="97"/>
      <c r="B139" s="1">
        <v>22</v>
      </c>
      <c r="C139" s="1" t="s">
        <v>698</v>
      </c>
      <c r="D139" s="1">
        <v>5</v>
      </c>
      <c r="E139" s="1">
        <v>5</v>
      </c>
      <c r="F139" s="1" t="s">
        <v>698</v>
      </c>
      <c r="G139" s="1" t="s">
        <v>698</v>
      </c>
      <c r="H139" s="1" t="s">
        <v>698</v>
      </c>
      <c r="I139" s="1" t="s">
        <v>698</v>
      </c>
      <c r="J139" s="1">
        <f t="shared" si="10"/>
        <v>1</v>
      </c>
      <c r="L139" s="1" t="s">
        <v>719</v>
      </c>
      <c r="M139" s="7">
        <v>2</v>
      </c>
      <c r="N139" s="1" t="s">
        <v>213</v>
      </c>
      <c r="O139" s="3" t="str">
        <f>VLOOKUP(N139,Malzemeler!B:C,2,)</f>
        <v>R17PM54305610</v>
      </c>
      <c r="P139" s="3" t="s">
        <v>14</v>
      </c>
      <c r="Q139" s="3">
        <v>4</v>
      </c>
      <c r="R139" s="43">
        <f>VLOOKUP('22'!O139,Malzemeler!C:D,2,0)</f>
        <v>3.04</v>
      </c>
      <c r="S139" s="43">
        <f t="shared" si="11"/>
        <v>12.16</v>
      </c>
    </row>
    <row r="140" spans="1:19" x14ac:dyDescent="0.35">
      <c r="A140" s="97" t="s">
        <v>478</v>
      </c>
      <c r="B140" s="1">
        <v>22</v>
      </c>
      <c r="C140" s="1" t="s">
        <v>572</v>
      </c>
      <c r="D140" s="1" t="s">
        <v>698</v>
      </c>
      <c r="E140" s="1" t="s">
        <v>698</v>
      </c>
      <c r="F140" s="1" t="s">
        <v>602</v>
      </c>
      <c r="G140" s="1" t="s">
        <v>698</v>
      </c>
      <c r="H140" s="1" t="s">
        <v>698</v>
      </c>
      <c r="I140" s="1" t="s">
        <v>698</v>
      </c>
      <c r="J140" s="1">
        <f t="shared" ref="J140:J161" si="12">SUBTOTAL(103,B140)</f>
        <v>1</v>
      </c>
      <c r="L140" s="1" t="s">
        <v>724</v>
      </c>
      <c r="M140" s="18">
        <v>1</v>
      </c>
      <c r="N140" s="1" t="s">
        <v>474</v>
      </c>
      <c r="O140" s="3" t="s">
        <v>475</v>
      </c>
      <c r="P140" s="3" t="s">
        <v>14</v>
      </c>
      <c r="Q140" s="11">
        <v>1</v>
      </c>
      <c r="R140" s="43">
        <f>VLOOKUP('22'!O140,Malzemeler!C:D,2,0)</f>
        <v>660</v>
      </c>
      <c r="S140" s="43">
        <f t="shared" si="11"/>
        <v>660</v>
      </c>
    </row>
    <row r="141" spans="1:19" x14ac:dyDescent="0.35">
      <c r="A141" s="98"/>
      <c r="B141" s="1">
        <v>22</v>
      </c>
      <c r="C141" s="1" t="s">
        <v>573</v>
      </c>
      <c r="D141" s="1" t="s">
        <v>698</v>
      </c>
      <c r="E141" s="1" t="s">
        <v>698</v>
      </c>
      <c r="F141" s="1" t="s">
        <v>602</v>
      </c>
      <c r="G141" s="1" t="s">
        <v>698</v>
      </c>
      <c r="H141" s="1" t="s">
        <v>698</v>
      </c>
      <c r="I141" s="1" t="s">
        <v>698</v>
      </c>
      <c r="J141" s="1">
        <f>SUBTOTAL(103,B141)</f>
        <v>1</v>
      </c>
      <c r="L141" s="1" t="s">
        <v>725</v>
      </c>
      <c r="M141" s="27">
        <v>1</v>
      </c>
      <c r="N141" s="28" t="s">
        <v>474</v>
      </c>
      <c r="O141" s="29" t="s">
        <v>700</v>
      </c>
      <c r="P141" s="29" t="s">
        <v>14</v>
      </c>
      <c r="Q141" s="30">
        <v>1</v>
      </c>
      <c r="R141" s="43" t="e">
        <f>VLOOKUP('22'!O141,Malzemeler!C:D,2,0)</f>
        <v>#N/A</v>
      </c>
      <c r="S141" s="43" t="e">
        <f>+R141*Q141</f>
        <v>#N/A</v>
      </c>
    </row>
    <row r="142" spans="1:19" x14ac:dyDescent="0.35">
      <c r="A142" s="97"/>
      <c r="B142" s="1">
        <v>22</v>
      </c>
      <c r="C142" s="1" t="s">
        <v>698</v>
      </c>
      <c r="D142" s="1" t="s">
        <v>698</v>
      </c>
      <c r="E142" s="1" t="s">
        <v>698</v>
      </c>
      <c r="F142" s="1" t="s">
        <v>602</v>
      </c>
      <c r="G142" s="1" t="s">
        <v>698</v>
      </c>
      <c r="H142" s="1" t="s">
        <v>698</v>
      </c>
      <c r="I142" s="1" t="s">
        <v>698</v>
      </c>
      <c r="J142" s="1">
        <f t="shared" si="12"/>
        <v>1</v>
      </c>
      <c r="L142" s="1" t="s">
        <v>478</v>
      </c>
      <c r="M142" s="18">
        <v>2</v>
      </c>
      <c r="N142" s="1" t="s">
        <v>479</v>
      </c>
      <c r="O142" s="3" t="s">
        <v>480</v>
      </c>
      <c r="P142" s="3" t="s">
        <v>14</v>
      </c>
      <c r="Q142" s="11">
        <v>1</v>
      </c>
      <c r="R142" s="43">
        <f>VLOOKUP('22'!O142,Malzemeler!C:D,2,0)</f>
        <v>132.32999999999998</v>
      </c>
      <c r="S142" s="43">
        <f t="shared" si="11"/>
        <v>132.32999999999998</v>
      </c>
    </row>
    <row r="143" spans="1:19" x14ac:dyDescent="0.35">
      <c r="A143" s="97"/>
      <c r="B143" s="1">
        <v>22</v>
      </c>
      <c r="C143" s="1" t="s">
        <v>698</v>
      </c>
      <c r="D143" s="1" t="s">
        <v>698</v>
      </c>
      <c r="E143" s="1" t="s">
        <v>698</v>
      </c>
      <c r="F143" s="1" t="s">
        <v>602</v>
      </c>
      <c r="G143" s="1" t="s">
        <v>698</v>
      </c>
      <c r="H143" s="1" t="s">
        <v>698</v>
      </c>
      <c r="I143" s="1" t="s">
        <v>698</v>
      </c>
      <c r="J143" s="1">
        <f t="shared" si="12"/>
        <v>1</v>
      </c>
      <c r="L143" s="1" t="s">
        <v>478</v>
      </c>
      <c r="M143" s="18">
        <v>3</v>
      </c>
      <c r="N143" s="5" t="s">
        <v>434</v>
      </c>
      <c r="O143" s="3" t="s">
        <v>435</v>
      </c>
      <c r="P143" s="3" t="s">
        <v>14</v>
      </c>
      <c r="Q143" s="11">
        <v>1</v>
      </c>
      <c r="R143" s="43">
        <f>VLOOKUP('22'!O143,Malzemeler!C:D,2,0)</f>
        <v>104.28</v>
      </c>
      <c r="S143" s="43">
        <f t="shared" si="11"/>
        <v>104.28</v>
      </c>
    </row>
    <row r="144" spans="1:19" x14ac:dyDescent="0.35">
      <c r="A144" s="97"/>
      <c r="B144" s="1">
        <v>22</v>
      </c>
      <c r="C144" s="1" t="s">
        <v>698</v>
      </c>
      <c r="D144" s="1" t="s">
        <v>698</v>
      </c>
      <c r="E144" s="1" t="s">
        <v>698</v>
      </c>
      <c r="F144" s="1" t="s">
        <v>602</v>
      </c>
      <c r="G144" s="1" t="s">
        <v>698</v>
      </c>
      <c r="H144" s="1" t="s">
        <v>698</v>
      </c>
      <c r="I144" s="1" t="s">
        <v>698</v>
      </c>
      <c r="J144" s="1">
        <f t="shared" si="12"/>
        <v>1</v>
      </c>
      <c r="L144" s="1" t="s">
        <v>478</v>
      </c>
      <c r="M144" s="18">
        <v>4</v>
      </c>
      <c r="N144" s="1" t="s">
        <v>90</v>
      </c>
      <c r="O144" s="3" t="s">
        <v>91</v>
      </c>
      <c r="P144" s="3" t="s">
        <v>135</v>
      </c>
      <c r="Q144" s="10">
        <v>6.4600000000000009</v>
      </c>
      <c r="R144" s="43">
        <f>VLOOKUP('22'!O144,Malzemeler!C:D,2,0)</f>
        <v>1.27</v>
      </c>
      <c r="S144" s="43">
        <f t="shared" si="11"/>
        <v>8.2042000000000019</v>
      </c>
    </row>
    <row r="145" spans="1:19" x14ac:dyDescent="0.35">
      <c r="A145" s="97"/>
      <c r="B145" s="1">
        <v>22</v>
      </c>
      <c r="C145" s="1" t="s">
        <v>698</v>
      </c>
      <c r="D145" s="1" t="s">
        <v>698</v>
      </c>
      <c r="E145" s="1" t="s">
        <v>698</v>
      </c>
      <c r="F145" s="1" t="s">
        <v>602</v>
      </c>
      <c r="G145" s="1" t="s">
        <v>698</v>
      </c>
      <c r="H145" s="1" t="s">
        <v>698</v>
      </c>
      <c r="I145" s="1" t="s">
        <v>698</v>
      </c>
      <c r="J145" s="1">
        <f t="shared" si="12"/>
        <v>1</v>
      </c>
      <c r="L145" s="1" t="s">
        <v>478</v>
      </c>
      <c r="M145" s="18">
        <v>5</v>
      </c>
      <c r="N145" s="1" t="s">
        <v>92</v>
      </c>
      <c r="O145" s="3" t="s">
        <v>93</v>
      </c>
      <c r="P145" s="3" t="s">
        <v>135</v>
      </c>
      <c r="Q145" s="10">
        <v>2.1419999999999995</v>
      </c>
      <c r="R145" s="43">
        <f>VLOOKUP('22'!O145,Malzemeler!C:D,2,0)</f>
        <v>1.74</v>
      </c>
      <c r="S145" s="43">
        <f t="shared" si="11"/>
        <v>3.7270799999999991</v>
      </c>
    </row>
    <row r="146" spans="1:19" x14ac:dyDescent="0.35">
      <c r="A146" s="97"/>
      <c r="B146" s="1">
        <v>22</v>
      </c>
      <c r="C146" s="1" t="s">
        <v>698</v>
      </c>
      <c r="D146" s="1" t="s">
        <v>698</v>
      </c>
      <c r="E146" s="1" t="s">
        <v>698</v>
      </c>
      <c r="F146" s="1" t="s">
        <v>602</v>
      </c>
      <c r="G146" s="1" t="s">
        <v>698</v>
      </c>
      <c r="H146" s="1" t="s">
        <v>698</v>
      </c>
      <c r="I146" s="1" t="s">
        <v>698</v>
      </c>
      <c r="J146" s="1">
        <f t="shared" si="12"/>
        <v>1</v>
      </c>
      <c r="L146" s="1" t="s">
        <v>478</v>
      </c>
      <c r="M146" s="18">
        <v>6</v>
      </c>
      <c r="N146" s="1" t="s">
        <v>94</v>
      </c>
      <c r="O146" s="3" t="s">
        <v>95</v>
      </c>
      <c r="P146" s="3" t="s">
        <v>135</v>
      </c>
      <c r="Q146" s="10">
        <v>7.1380000000000194</v>
      </c>
      <c r="R146" s="43">
        <f>VLOOKUP('22'!O146,Malzemeler!C:D,2,0)</f>
        <v>1.95</v>
      </c>
      <c r="S146" s="43">
        <f t="shared" si="11"/>
        <v>13.919100000000038</v>
      </c>
    </row>
    <row r="147" spans="1:19" x14ac:dyDescent="0.35">
      <c r="A147" s="97"/>
      <c r="B147" s="1">
        <v>22</v>
      </c>
      <c r="C147" s="1" t="s">
        <v>698</v>
      </c>
      <c r="D147" s="1" t="s">
        <v>698</v>
      </c>
      <c r="E147" s="1" t="s">
        <v>698</v>
      </c>
      <c r="F147" s="1" t="s">
        <v>602</v>
      </c>
      <c r="G147" s="1" t="s">
        <v>698</v>
      </c>
      <c r="H147" s="1" t="s">
        <v>698</v>
      </c>
      <c r="I147" s="1" t="s">
        <v>698</v>
      </c>
      <c r="J147" s="1">
        <f t="shared" si="12"/>
        <v>1</v>
      </c>
      <c r="L147" s="1" t="s">
        <v>478</v>
      </c>
      <c r="M147" s="18">
        <v>7</v>
      </c>
      <c r="N147" s="1" t="s">
        <v>98</v>
      </c>
      <c r="O147" s="3" t="s">
        <v>99</v>
      </c>
      <c r="P147" s="3" t="s">
        <v>133</v>
      </c>
      <c r="Q147" s="10">
        <v>2.9199999999999982</v>
      </c>
      <c r="R147" s="43">
        <f>VLOOKUP('22'!O147,Malzemeler!C:D,2,0)</f>
        <v>0.87</v>
      </c>
      <c r="S147" s="43">
        <f t="shared" si="11"/>
        <v>2.5403999999999982</v>
      </c>
    </row>
    <row r="148" spans="1:19" x14ac:dyDescent="0.35">
      <c r="A148" s="97"/>
      <c r="B148" s="1">
        <v>22</v>
      </c>
      <c r="C148" s="1" t="s">
        <v>698</v>
      </c>
      <c r="D148" s="1" t="s">
        <v>698</v>
      </c>
      <c r="E148" s="1" t="s">
        <v>698</v>
      </c>
      <c r="F148" s="1" t="s">
        <v>602</v>
      </c>
      <c r="G148" s="1" t="s">
        <v>698</v>
      </c>
      <c r="H148" s="1" t="s">
        <v>698</v>
      </c>
      <c r="I148" s="1" t="s">
        <v>698</v>
      </c>
      <c r="J148" s="1">
        <f t="shared" si="12"/>
        <v>1</v>
      </c>
      <c r="L148" s="1" t="s">
        <v>478</v>
      </c>
      <c r="M148" s="18">
        <v>8</v>
      </c>
      <c r="N148" s="1" t="s">
        <v>102</v>
      </c>
      <c r="O148" s="3" t="s">
        <v>103</v>
      </c>
      <c r="P148" s="3" t="s">
        <v>133</v>
      </c>
      <c r="Q148" s="10">
        <v>8.051999999999996</v>
      </c>
      <c r="R148" s="43">
        <f>VLOOKUP('22'!O148,Malzemeler!C:D,2,0)</f>
        <v>1.1299999999999999</v>
      </c>
      <c r="S148" s="43">
        <f t="shared" si="11"/>
        <v>9.0987599999999951</v>
      </c>
    </row>
    <row r="149" spans="1:19" x14ac:dyDescent="0.35">
      <c r="A149" s="97"/>
      <c r="B149" s="1">
        <v>22</v>
      </c>
      <c r="C149" s="1" t="s">
        <v>698</v>
      </c>
      <c r="D149" s="1" t="s">
        <v>698</v>
      </c>
      <c r="E149" s="1" t="s">
        <v>698</v>
      </c>
      <c r="F149" s="1" t="s">
        <v>602</v>
      </c>
      <c r="G149" s="1" t="s">
        <v>698</v>
      </c>
      <c r="H149" s="1" t="s">
        <v>698</v>
      </c>
      <c r="I149" s="1" t="s">
        <v>698</v>
      </c>
      <c r="J149" s="1">
        <f t="shared" si="12"/>
        <v>1</v>
      </c>
      <c r="L149" s="1" t="s">
        <v>478</v>
      </c>
      <c r="M149" s="18">
        <v>9</v>
      </c>
      <c r="N149" s="1" t="s">
        <v>104</v>
      </c>
      <c r="O149" s="3" t="s">
        <v>105</v>
      </c>
      <c r="P149" s="3" t="s">
        <v>133</v>
      </c>
      <c r="Q149" s="10">
        <v>46.034935400000222</v>
      </c>
      <c r="R149" s="43">
        <f>VLOOKUP('22'!O149,Malzemeler!C:D,2,0)</f>
        <v>0.98</v>
      </c>
      <c r="S149" s="43">
        <f t="shared" si="11"/>
        <v>45.114236692000219</v>
      </c>
    </row>
    <row r="150" spans="1:19" x14ac:dyDescent="0.35">
      <c r="A150" s="97"/>
      <c r="B150" s="1">
        <v>22</v>
      </c>
      <c r="C150" s="1" t="s">
        <v>698</v>
      </c>
      <c r="D150" s="1" t="s">
        <v>698</v>
      </c>
      <c r="E150" s="1" t="s">
        <v>698</v>
      </c>
      <c r="F150" s="1" t="s">
        <v>602</v>
      </c>
      <c r="G150" s="1" t="s">
        <v>698</v>
      </c>
      <c r="H150" s="1" t="s">
        <v>698</v>
      </c>
      <c r="I150" s="1" t="s">
        <v>698</v>
      </c>
      <c r="J150" s="1">
        <f t="shared" si="12"/>
        <v>1</v>
      </c>
      <c r="L150" s="1" t="s">
        <v>478</v>
      </c>
      <c r="M150" s="18">
        <v>10</v>
      </c>
      <c r="N150" s="1" t="s">
        <v>106</v>
      </c>
      <c r="O150" s="3" t="s">
        <v>107</v>
      </c>
      <c r="P150" s="3" t="s">
        <v>14</v>
      </c>
      <c r="Q150" s="11">
        <v>4</v>
      </c>
      <c r="R150" s="43">
        <f>VLOOKUP('22'!O150,Malzemeler!C:D,2,0)</f>
        <v>0</v>
      </c>
      <c r="S150" s="43">
        <f t="shared" si="11"/>
        <v>0</v>
      </c>
    </row>
    <row r="151" spans="1:19" x14ac:dyDescent="0.35">
      <c r="A151" s="97"/>
      <c r="B151" s="1">
        <v>22</v>
      </c>
      <c r="C151" s="1" t="s">
        <v>698</v>
      </c>
      <c r="D151" s="1" t="s">
        <v>698</v>
      </c>
      <c r="E151" s="1" t="s">
        <v>698</v>
      </c>
      <c r="F151" s="1" t="s">
        <v>602</v>
      </c>
      <c r="G151" s="1" t="s">
        <v>698</v>
      </c>
      <c r="H151" s="1" t="s">
        <v>698</v>
      </c>
      <c r="I151" s="1" t="s">
        <v>698</v>
      </c>
      <c r="J151" s="1">
        <f t="shared" si="12"/>
        <v>1</v>
      </c>
      <c r="L151" s="1" t="s">
        <v>478</v>
      </c>
      <c r="M151" s="18">
        <v>11</v>
      </c>
      <c r="N151" s="1" t="s">
        <v>108</v>
      </c>
      <c r="O151" s="3" t="s">
        <v>109</v>
      </c>
      <c r="P151" s="3" t="s">
        <v>14</v>
      </c>
      <c r="Q151" s="11">
        <v>4</v>
      </c>
      <c r="R151" s="43">
        <f>VLOOKUP('22'!O151,Malzemeler!C:D,2,0)</f>
        <v>0</v>
      </c>
      <c r="S151" s="43">
        <f t="shared" si="11"/>
        <v>0</v>
      </c>
    </row>
    <row r="152" spans="1:19" x14ac:dyDescent="0.35">
      <c r="A152" s="97"/>
      <c r="B152" s="1">
        <v>22</v>
      </c>
      <c r="C152" s="1" t="s">
        <v>698</v>
      </c>
      <c r="D152" s="1" t="s">
        <v>698</v>
      </c>
      <c r="E152" s="1" t="s">
        <v>698</v>
      </c>
      <c r="F152" s="1" t="s">
        <v>602</v>
      </c>
      <c r="G152" s="1" t="s">
        <v>698</v>
      </c>
      <c r="H152" s="1" t="s">
        <v>698</v>
      </c>
      <c r="I152" s="1" t="s">
        <v>698</v>
      </c>
      <c r="J152" s="1">
        <f t="shared" si="12"/>
        <v>1</v>
      </c>
      <c r="L152" s="1" t="s">
        <v>478</v>
      </c>
      <c r="M152" s="18">
        <v>12</v>
      </c>
      <c r="N152" s="1" t="s">
        <v>110</v>
      </c>
      <c r="O152" s="3" t="s">
        <v>111</v>
      </c>
      <c r="P152" s="3" t="s">
        <v>135</v>
      </c>
      <c r="Q152" s="10">
        <v>14.404000000000025</v>
      </c>
      <c r="R152" s="43">
        <f>VLOOKUP('22'!O152,Malzemeler!C:D,2,0)</f>
        <v>1.1200000000000001</v>
      </c>
      <c r="S152" s="43">
        <f t="shared" si="11"/>
        <v>16.132480000000029</v>
      </c>
    </row>
    <row r="153" spans="1:19" x14ac:dyDescent="0.35">
      <c r="A153" s="97"/>
      <c r="B153" s="1">
        <v>22</v>
      </c>
      <c r="C153" s="1" t="s">
        <v>698</v>
      </c>
      <c r="D153" s="1" t="s">
        <v>698</v>
      </c>
      <c r="E153" s="1" t="s">
        <v>698</v>
      </c>
      <c r="F153" s="1" t="s">
        <v>602</v>
      </c>
      <c r="G153" s="1" t="s">
        <v>698</v>
      </c>
      <c r="H153" s="1" t="s">
        <v>698</v>
      </c>
      <c r="I153" s="1" t="s">
        <v>698</v>
      </c>
      <c r="J153" s="1">
        <f t="shared" si="12"/>
        <v>1</v>
      </c>
      <c r="L153" s="1" t="s">
        <v>478</v>
      </c>
      <c r="M153" s="18">
        <v>13</v>
      </c>
      <c r="N153" s="1" t="s">
        <v>268</v>
      </c>
      <c r="O153" s="3" t="s">
        <v>269</v>
      </c>
      <c r="P153" s="3" t="s">
        <v>14</v>
      </c>
      <c r="Q153" s="11">
        <v>2</v>
      </c>
      <c r="R153" s="43">
        <f>VLOOKUP('22'!O153,Malzemeler!C:D,2,0)</f>
        <v>3.2450000000000001</v>
      </c>
      <c r="S153" s="43">
        <f t="shared" si="11"/>
        <v>6.49</v>
      </c>
    </row>
    <row r="154" spans="1:19" x14ac:dyDescent="0.35">
      <c r="A154" s="97"/>
      <c r="B154" s="1">
        <v>22</v>
      </c>
      <c r="C154" s="1" t="s">
        <v>698</v>
      </c>
      <c r="D154" s="1" t="s">
        <v>698</v>
      </c>
      <c r="E154" s="1" t="s">
        <v>698</v>
      </c>
      <c r="F154" s="1" t="s">
        <v>602</v>
      </c>
      <c r="G154" s="1" t="s">
        <v>698</v>
      </c>
      <c r="H154" s="1" t="s">
        <v>698</v>
      </c>
      <c r="I154" s="1" t="s">
        <v>698</v>
      </c>
      <c r="J154" s="1">
        <f t="shared" si="12"/>
        <v>1</v>
      </c>
      <c r="L154" s="1" t="s">
        <v>478</v>
      </c>
      <c r="M154" s="18">
        <v>14</v>
      </c>
      <c r="N154" s="1" t="s">
        <v>476</v>
      </c>
      <c r="O154" s="3" t="s">
        <v>477</v>
      </c>
      <c r="P154" s="3" t="s">
        <v>14</v>
      </c>
      <c r="Q154" s="11">
        <v>2</v>
      </c>
      <c r="R154" s="43">
        <f>VLOOKUP('22'!O154,Malzemeler!C:D,2,0)</f>
        <v>2.2709999999999999</v>
      </c>
      <c r="S154" s="43">
        <f t="shared" si="11"/>
        <v>4.5419999999999998</v>
      </c>
    </row>
    <row r="155" spans="1:19" x14ac:dyDescent="0.35">
      <c r="A155" s="97"/>
      <c r="B155" s="1">
        <v>22</v>
      </c>
      <c r="C155" s="1" t="s">
        <v>698</v>
      </c>
      <c r="D155" s="1" t="s">
        <v>698</v>
      </c>
      <c r="E155" s="1" t="s">
        <v>698</v>
      </c>
      <c r="F155" s="1" t="s">
        <v>602</v>
      </c>
      <c r="G155" s="1" t="s">
        <v>698</v>
      </c>
      <c r="H155" s="1" t="s">
        <v>698</v>
      </c>
      <c r="I155" s="1" t="s">
        <v>698</v>
      </c>
      <c r="J155" s="1">
        <f t="shared" si="12"/>
        <v>1</v>
      </c>
      <c r="L155" s="1" t="s">
        <v>478</v>
      </c>
      <c r="M155" s="18">
        <v>15</v>
      </c>
      <c r="N155" s="1" t="s">
        <v>114</v>
      </c>
      <c r="O155" s="3" t="s">
        <v>115</v>
      </c>
      <c r="P155" s="3" t="s">
        <v>135</v>
      </c>
      <c r="Q155" s="10">
        <v>2.5519999999999996</v>
      </c>
      <c r="R155" s="43">
        <f>VLOOKUP('22'!O155,Malzemeler!C:D,2,0)</f>
        <v>2.21</v>
      </c>
      <c r="S155" s="43">
        <f t="shared" si="11"/>
        <v>5.6399199999999992</v>
      </c>
    </row>
    <row r="156" spans="1:19" x14ac:dyDescent="0.35">
      <c r="A156" s="97" t="s">
        <v>720</v>
      </c>
      <c r="B156" s="1">
        <v>22</v>
      </c>
      <c r="C156" s="1" t="s">
        <v>572</v>
      </c>
      <c r="D156" s="1" t="s">
        <v>698</v>
      </c>
      <c r="E156" s="1" t="s">
        <v>698</v>
      </c>
      <c r="F156" s="1" t="s">
        <v>698</v>
      </c>
      <c r="G156" s="1" t="s">
        <v>698</v>
      </c>
      <c r="H156" s="1">
        <v>1</v>
      </c>
      <c r="I156" s="1" t="s">
        <v>698</v>
      </c>
      <c r="J156" s="1">
        <f t="shared" si="12"/>
        <v>1</v>
      </c>
      <c r="L156" s="1" t="s">
        <v>726</v>
      </c>
      <c r="M156" s="18">
        <v>1</v>
      </c>
      <c r="N156" s="1" t="s">
        <v>559</v>
      </c>
      <c r="O156" s="3" t="s">
        <v>192</v>
      </c>
      <c r="P156" s="3" t="s">
        <v>14</v>
      </c>
      <c r="Q156" s="11">
        <v>1</v>
      </c>
      <c r="R156" s="43">
        <f>VLOOKUP('22'!O156,Malzemeler!C:D,2,0)</f>
        <v>410</v>
      </c>
      <c r="S156" s="43">
        <f t="shared" si="11"/>
        <v>410</v>
      </c>
    </row>
    <row r="157" spans="1:19" x14ac:dyDescent="0.35">
      <c r="A157" s="98"/>
      <c r="B157" s="1">
        <v>22</v>
      </c>
      <c r="C157" s="1" t="s">
        <v>573</v>
      </c>
      <c r="D157" s="1" t="s">
        <v>698</v>
      </c>
      <c r="E157" s="1" t="s">
        <v>698</v>
      </c>
      <c r="F157" s="1" t="s">
        <v>698</v>
      </c>
      <c r="G157" s="1" t="s">
        <v>698</v>
      </c>
      <c r="H157" s="1">
        <v>1</v>
      </c>
      <c r="I157" s="1" t="s">
        <v>698</v>
      </c>
      <c r="J157" s="1">
        <f>SUBTOTAL(103,B157)</f>
        <v>1</v>
      </c>
      <c r="L157" s="1" t="s">
        <v>727</v>
      </c>
      <c r="M157" s="27">
        <v>1</v>
      </c>
      <c r="N157" s="28" t="s">
        <v>559</v>
      </c>
      <c r="O157" s="29" t="str">
        <f>VLOOKUP(N157,Malzemeler!B:C,2,)</f>
        <v>-</v>
      </c>
      <c r="P157" s="29" t="s">
        <v>14</v>
      </c>
      <c r="Q157" s="30">
        <v>1</v>
      </c>
      <c r="R157" s="43">
        <f>VLOOKUP('22'!O157,Malzemeler!C:D,2,0)</f>
        <v>410</v>
      </c>
      <c r="S157" s="43">
        <f>+R157*Q157</f>
        <v>410</v>
      </c>
    </row>
    <row r="158" spans="1:19" x14ac:dyDescent="0.35">
      <c r="A158" s="97"/>
      <c r="B158" s="1">
        <v>22</v>
      </c>
      <c r="C158" s="1" t="s">
        <v>698</v>
      </c>
      <c r="D158" s="1" t="s">
        <v>698</v>
      </c>
      <c r="E158" s="1" t="s">
        <v>698</v>
      </c>
      <c r="F158" s="1" t="s">
        <v>698</v>
      </c>
      <c r="G158" s="1" t="s">
        <v>698</v>
      </c>
      <c r="H158" s="1">
        <v>1</v>
      </c>
      <c r="I158" s="1" t="s">
        <v>698</v>
      </c>
      <c r="J158" s="1">
        <f t="shared" si="12"/>
        <v>1</v>
      </c>
      <c r="L158" s="1" t="s">
        <v>747</v>
      </c>
      <c r="M158" s="18">
        <v>2</v>
      </c>
      <c r="N158" s="1" t="s">
        <v>217</v>
      </c>
      <c r="O158" s="3" t="s">
        <v>218</v>
      </c>
      <c r="P158" s="3" t="s">
        <v>14</v>
      </c>
      <c r="Q158" s="11">
        <v>1</v>
      </c>
      <c r="R158" s="43">
        <f>VLOOKUP('22'!O158,Malzemeler!C:D,2,0)</f>
        <v>60.72</v>
      </c>
      <c r="S158" s="43">
        <f t="shared" si="11"/>
        <v>60.72</v>
      </c>
    </row>
    <row r="159" spans="1:19" x14ac:dyDescent="0.35">
      <c r="A159" s="97"/>
      <c r="B159" s="1">
        <v>22</v>
      </c>
      <c r="C159" s="1" t="s">
        <v>698</v>
      </c>
      <c r="D159" s="1" t="s">
        <v>698</v>
      </c>
      <c r="E159" s="1" t="s">
        <v>698</v>
      </c>
      <c r="F159" s="1" t="s">
        <v>698</v>
      </c>
      <c r="G159" s="1" t="s">
        <v>698</v>
      </c>
      <c r="H159" s="1">
        <v>1</v>
      </c>
      <c r="I159" s="1" t="s">
        <v>698</v>
      </c>
      <c r="J159" s="1">
        <f t="shared" si="12"/>
        <v>1</v>
      </c>
      <c r="L159" s="1" t="s">
        <v>747</v>
      </c>
      <c r="M159" s="18">
        <v>3</v>
      </c>
      <c r="N159" s="1" t="s">
        <v>54</v>
      </c>
      <c r="O159" s="3" t="s">
        <v>57</v>
      </c>
      <c r="P159" s="3" t="s">
        <v>14</v>
      </c>
      <c r="Q159" s="11">
        <v>1</v>
      </c>
      <c r="R159" s="43">
        <f>VLOOKUP('22'!O159,Malzemeler!C:D,2,0)</f>
        <v>77.55</v>
      </c>
      <c r="S159" s="43">
        <f t="shared" si="11"/>
        <v>77.55</v>
      </c>
    </row>
    <row r="160" spans="1:19" x14ac:dyDescent="0.35">
      <c r="A160" s="97"/>
      <c r="B160" s="1">
        <v>22</v>
      </c>
      <c r="C160" s="1" t="s">
        <v>698</v>
      </c>
      <c r="D160" s="1" t="s">
        <v>698</v>
      </c>
      <c r="E160" s="1" t="s">
        <v>698</v>
      </c>
      <c r="F160" s="1" t="s">
        <v>698</v>
      </c>
      <c r="G160" s="1" t="s">
        <v>698</v>
      </c>
      <c r="H160" s="1">
        <v>1</v>
      </c>
      <c r="I160" s="1" t="s">
        <v>698</v>
      </c>
      <c r="J160" s="1">
        <f t="shared" si="12"/>
        <v>1</v>
      </c>
      <c r="L160" s="1" t="s">
        <v>747</v>
      </c>
      <c r="M160" s="18">
        <v>4</v>
      </c>
      <c r="N160" s="5" t="s">
        <v>593</v>
      </c>
      <c r="O160" s="3" t="s">
        <v>592</v>
      </c>
      <c r="P160" s="3" t="s">
        <v>14</v>
      </c>
      <c r="Q160" s="3">
        <v>1</v>
      </c>
      <c r="R160" s="43">
        <f>VLOOKUP('22'!O160,Malzemeler!C:D,2,0)</f>
        <v>0</v>
      </c>
      <c r="S160" s="43">
        <f t="shared" si="11"/>
        <v>0</v>
      </c>
    </row>
    <row r="161" spans="1:19" s="5" customFormat="1" ht="34.799999999999997" x14ac:dyDescent="0.35">
      <c r="A161" s="39" t="s">
        <v>721</v>
      </c>
      <c r="B161" s="1">
        <v>22</v>
      </c>
      <c r="C161" s="1" t="s">
        <v>698</v>
      </c>
      <c r="D161" s="1" t="s">
        <v>698</v>
      </c>
      <c r="E161" s="1" t="s">
        <v>698</v>
      </c>
      <c r="F161" s="1" t="s">
        <v>698</v>
      </c>
      <c r="G161" s="1" t="s">
        <v>698</v>
      </c>
      <c r="H161" s="1" t="s">
        <v>698</v>
      </c>
      <c r="I161" s="33">
        <v>1</v>
      </c>
      <c r="J161" s="1">
        <f t="shared" si="12"/>
        <v>1</v>
      </c>
      <c r="L161" s="1" t="s">
        <v>721</v>
      </c>
      <c r="M161" s="7">
        <v>1</v>
      </c>
      <c r="N161" s="32" t="s">
        <v>668</v>
      </c>
      <c r="O161" s="32" t="s">
        <v>669</v>
      </c>
      <c r="P161" s="32" t="s">
        <v>14</v>
      </c>
      <c r="Q161" s="32">
        <v>1</v>
      </c>
      <c r="R161" s="43">
        <f>VLOOKUP('22'!O161,Malzemeler!C:D,2,0)</f>
        <v>0</v>
      </c>
      <c r="S161" s="43">
        <f t="shared" si="11"/>
        <v>0</v>
      </c>
    </row>
  </sheetData>
  <mergeCells count="5">
    <mergeCell ref="A140:A155"/>
    <mergeCell ref="A156:A160"/>
    <mergeCell ref="A126:A139"/>
    <mergeCell ref="A3:A93"/>
    <mergeCell ref="A94:A12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1C9DA-F403-4AD3-A7F6-A28B10E135FE}">
  <sheetPr codeName="Sayfa8"/>
  <dimension ref="A1:AA168"/>
  <sheetViews>
    <sheetView topLeftCell="H112" zoomScale="85" zoomScaleNormal="85" workbookViewId="0">
      <selection activeCell="N122" sqref="N122:O124"/>
    </sheetView>
  </sheetViews>
  <sheetFormatPr defaultColWidth="8.6640625" defaultRowHeight="15" x14ac:dyDescent="0.35"/>
  <cols>
    <col min="1" max="1" width="5.21875" style="36" customWidth="1"/>
    <col min="2" max="2" width="6.88671875" style="1" bestFit="1" customWidth="1"/>
    <col min="3" max="3" width="5.6640625" style="1" bestFit="1" customWidth="1"/>
    <col min="4" max="4" width="14.44140625" style="1" bestFit="1" customWidth="1"/>
    <col min="5" max="5" width="12.109375" style="1" bestFit="1" customWidth="1"/>
    <col min="6" max="6" width="17.44140625" style="1" bestFit="1" customWidth="1"/>
    <col min="7" max="7" width="10.44140625" style="1" bestFit="1" customWidth="1"/>
    <col min="8" max="8" width="9.109375" style="1" bestFit="1" customWidth="1"/>
    <col min="9" max="9" width="7.44140625" style="1" bestFit="1" customWidth="1"/>
    <col min="10" max="10" width="2.44140625" style="1" bestFit="1" customWidth="1"/>
    <col min="11" max="11" width="5.21875" style="1" customWidth="1"/>
    <col min="12" max="12" width="27.109375" style="1" bestFit="1" customWidth="1"/>
    <col min="13" max="13" width="4.21875" style="2" customWidth="1"/>
    <col min="14" max="14" width="89.77734375" style="1" customWidth="1"/>
    <col min="15" max="15" width="31" style="3" customWidth="1"/>
    <col min="16" max="16" width="6.88671875" style="3" customWidth="1"/>
    <col min="17" max="17" width="8.88671875" style="3" customWidth="1"/>
    <col min="18" max="18" width="17.109375" style="1" bestFit="1" customWidth="1"/>
    <col min="19" max="19" width="16" style="1" bestFit="1" customWidth="1"/>
    <col min="20" max="20" width="7.21875" style="1" bestFit="1" customWidth="1"/>
    <col min="21" max="21" width="9.109375" style="1" bestFit="1" customWidth="1"/>
    <col min="22" max="22" width="8.6640625" style="1"/>
    <col min="23" max="23" width="4.21875" style="1" bestFit="1" customWidth="1"/>
    <col min="24" max="24" width="32.6640625" style="1" bestFit="1" customWidth="1"/>
    <col min="25" max="25" width="18" style="1" bestFit="1" customWidth="1"/>
    <col min="26" max="26" width="7.21875" style="1" bestFit="1" customWidth="1"/>
    <col min="27" max="27" width="9.109375" style="1" bestFit="1" customWidth="1"/>
    <col min="28" max="16384" width="8.6640625" style="1"/>
  </cols>
  <sheetData>
    <row r="1" spans="1:27" x14ac:dyDescent="0.35">
      <c r="A1" s="35"/>
      <c r="B1" s="5" t="s">
        <v>493</v>
      </c>
      <c r="C1" s="5" t="s">
        <v>571</v>
      </c>
      <c r="D1" s="5" t="s">
        <v>569</v>
      </c>
      <c r="E1" s="5" t="s">
        <v>570</v>
      </c>
      <c r="F1" s="5" t="s">
        <v>581</v>
      </c>
      <c r="G1" s="5" t="s">
        <v>599</v>
      </c>
      <c r="H1" s="5" t="s">
        <v>600</v>
      </c>
      <c r="I1" s="5" t="s">
        <v>601</v>
      </c>
      <c r="N1" s="4" t="s">
        <v>357</v>
      </c>
      <c r="W1" s="103" t="s">
        <v>574</v>
      </c>
      <c r="X1" s="103"/>
      <c r="Y1" s="103"/>
      <c r="Z1" s="103"/>
      <c r="AA1" s="103"/>
    </row>
    <row r="2" spans="1:27" x14ac:dyDescent="0.35">
      <c r="B2" s="1">
        <v>32</v>
      </c>
      <c r="C2" s="1" t="s">
        <v>698</v>
      </c>
      <c r="D2" s="1" t="s">
        <v>698</v>
      </c>
      <c r="E2" s="1" t="s">
        <v>698</v>
      </c>
      <c r="F2" s="1" t="s">
        <v>698</v>
      </c>
      <c r="G2" s="1" t="s">
        <v>698</v>
      </c>
      <c r="H2" s="1" t="s">
        <v>698</v>
      </c>
      <c r="I2" s="1" t="s">
        <v>698</v>
      </c>
      <c r="J2" s="1">
        <f>SUBTOTAL(103,B2)</f>
        <v>1</v>
      </c>
      <c r="M2" s="8" t="s">
        <v>1</v>
      </c>
      <c r="N2" s="9" t="s">
        <v>2</v>
      </c>
      <c r="O2" s="9" t="s">
        <v>3</v>
      </c>
      <c r="P2" s="9" t="s">
        <v>4</v>
      </c>
      <c r="Q2" s="9" t="s">
        <v>5</v>
      </c>
      <c r="R2" s="9" t="s">
        <v>739</v>
      </c>
      <c r="S2" s="9" t="s">
        <v>740</v>
      </c>
    </row>
    <row r="3" spans="1:27" ht="15" customHeight="1" x14ac:dyDescent="0.35">
      <c r="A3" s="99" t="s">
        <v>723</v>
      </c>
      <c r="B3" s="1">
        <v>32</v>
      </c>
      <c r="C3" s="1" t="s">
        <v>698</v>
      </c>
      <c r="D3" s="1" t="s">
        <v>698</v>
      </c>
      <c r="E3" s="1" t="s">
        <v>698</v>
      </c>
      <c r="F3" s="1" t="s">
        <v>698</v>
      </c>
      <c r="G3" s="1" t="s">
        <v>698</v>
      </c>
      <c r="H3" s="1" t="s">
        <v>698</v>
      </c>
      <c r="I3" s="1" t="s">
        <v>698</v>
      </c>
      <c r="J3" s="1">
        <f t="shared" ref="J3:J118" si="0">SUBTOTAL(103,B3)</f>
        <v>1</v>
      </c>
      <c r="L3" s="1" t="s">
        <v>723</v>
      </c>
      <c r="M3" s="7">
        <v>1</v>
      </c>
      <c r="N3" s="5" t="s">
        <v>287</v>
      </c>
      <c r="O3" s="3" t="s">
        <v>288</v>
      </c>
      <c r="P3" s="3" t="s">
        <v>14</v>
      </c>
      <c r="Q3" s="3">
        <v>1</v>
      </c>
      <c r="R3" s="43">
        <f>VLOOKUP('32'!O3,Malzemeler!C:D,2,0)</f>
        <v>1444.06</v>
      </c>
      <c r="S3" s="43">
        <f>+R3*Q3</f>
        <v>1444.06</v>
      </c>
    </row>
    <row r="4" spans="1:27" x14ac:dyDescent="0.35">
      <c r="A4" s="100"/>
      <c r="B4" s="1">
        <v>32</v>
      </c>
      <c r="C4" s="1" t="s">
        <v>698</v>
      </c>
      <c r="D4" s="1" t="s">
        <v>698</v>
      </c>
      <c r="E4" s="1" t="s">
        <v>698</v>
      </c>
      <c r="F4" s="1" t="s">
        <v>698</v>
      </c>
      <c r="G4" s="1" t="s">
        <v>698</v>
      </c>
      <c r="H4" s="1" t="s">
        <v>698</v>
      </c>
      <c r="I4" s="1" t="s">
        <v>698</v>
      </c>
      <c r="J4" s="1">
        <f t="shared" si="0"/>
        <v>1</v>
      </c>
      <c r="L4" s="1" t="s">
        <v>723</v>
      </c>
      <c r="M4" s="7">
        <v>2</v>
      </c>
      <c r="N4" s="5" t="s">
        <v>151</v>
      </c>
      <c r="O4" s="3" t="s">
        <v>549</v>
      </c>
      <c r="P4" s="3" t="s">
        <v>14</v>
      </c>
      <c r="Q4" s="3">
        <v>1</v>
      </c>
      <c r="R4" s="43">
        <f>VLOOKUP('32'!O4,Malzemeler!C:D,2,0)</f>
        <v>40.708500000000001</v>
      </c>
      <c r="S4" s="43">
        <f t="shared" ref="S4:S66" si="1">+R4*Q4</f>
        <v>40.708500000000001</v>
      </c>
    </row>
    <row r="5" spans="1:27" x14ac:dyDescent="0.35">
      <c r="A5" s="100"/>
      <c r="B5" s="1">
        <v>32</v>
      </c>
      <c r="C5" s="1" t="s">
        <v>698</v>
      </c>
      <c r="D5" s="1" t="s">
        <v>698</v>
      </c>
      <c r="E5" s="1" t="s">
        <v>698</v>
      </c>
      <c r="F5" s="1" t="s">
        <v>698</v>
      </c>
      <c r="G5" s="1" t="s">
        <v>698</v>
      </c>
      <c r="H5" s="1" t="s">
        <v>698</v>
      </c>
      <c r="I5" s="1" t="s">
        <v>698</v>
      </c>
      <c r="J5" s="1">
        <f t="shared" si="0"/>
        <v>1</v>
      </c>
      <c r="L5" s="1" t="s">
        <v>723</v>
      </c>
      <c r="M5" s="7">
        <v>3</v>
      </c>
      <c r="N5" s="5" t="s">
        <v>206</v>
      </c>
      <c r="O5" s="3" t="s">
        <v>505</v>
      </c>
      <c r="P5" s="3" t="s">
        <v>14</v>
      </c>
      <c r="Q5" s="3">
        <v>1</v>
      </c>
      <c r="R5" s="43">
        <f>VLOOKUP('32'!O5,Malzemeler!C:D,2,0)</f>
        <v>18.8</v>
      </c>
      <c r="S5" s="43">
        <f t="shared" si="1"/>
        <v>18.8</v>
      </c>
    </row>
    <row r="6" spans="1:27" x14ac:dyDescent="0.35">
      <c r="A6" s="100"/>
      <c r="B6" s="1">
        <v>32</v>
      </c>
      <c r="C6" s="1" t="s">
        <v>698</v>
      </c>
      <c r="D6" s="1" t="s">
        <v>698</v>
      </c>
      <c r="E6" s="1" t="s">
        <v>698</v>
      </c>
      <c r="F6" s="1" t="s">
        <v>698</v>
      </c>
      <c r="G6" s="1" t="s">
        <v>698</v>
      </c>
      <c r="H6" s="1" t="s">
        <v>698</v>
      </c>
      <c r="I6" s="1" t="s">
        <v>698</v>
      </c>
      <c r="J6" s="1">
        <f t="shared" si="0"/>
        <v>1</v>
      </c>
      <c r="L6" s="1" t="s">
        <v>723</v>
      </c>
      <c r="M6" s="7">
        <v>4</v>
      </c>
      <c r="N6" s="5" t="s">
        <v>185</v>
      </c>
      <c r="O6" s="3" t="s">
        <v>511</v>
      </c>
      <c r="P6" s="3" t="s">
        <v>14</v>
      </c>
      <c r="Q6" s="3">
        <v>1</v>
      </c>
      <c r="R6" s="43">
        <f>VLOOKUP('32'!O6,Malzemeler!C:D,2,0)</f>
        <v>14.5</v>
      </c>
      <c r="S6" s="43">
        <f t="shared" si="1"/>
        <v>14.5</v>
      </c>
    </row>
    <row r="7" spans="1:27" x14ac:dyDescent="0.35">
      <c r="A7" s="100"/>
      <c r="B7" s="1">
        <v>32</v>
      </c>
      <c r="C7" s="1" t="s">
        <v>698</v>
      </c>
      <c r="D7" s="1" t="s">
        <v>698</v>
      </c>
      <c r="E7" s="1" t="s">
        <v>698</v>
      </c>
      <c r="F7" s="1" t="s">
        <v>698</v>
      </c>
      <c r="G7" s="1" t="s">
        <v>698</v>
      </c>
      <c r="H7" s="1" t="s">
        <v>698</v>
      </c>
      <c r="I7" s="1" t="s">
        <v>698</v>
      </c>
      <c r="J7" s="1">
        <f t="shared" si="0"/>
        <v>1</v>
      </c>
      <c r="L7" s="1" t="s">
        <v>723</v>
      </c>
      <c r="M7" s="7">
        <v>5</v>
      </c>
      <c r="N7" s="5" t="s">
        <v>186</v>
      </c>
      <c r="O7" s="3" t="s">
        <v>517</v>
      </c>
      <c r="P7" s="3" t="s">
        <v>14</v>
      </c>
      <c r="Q7" s="3">
        <v>1</v>
      </c>
      <c r="R7" s="43">
        <f>VLOOKUP('32'!O7,Malzemeler!C:D,2,0)</f>
        <v>19.5</v>
      </c>
      <c r="S7" s="43">
        <f t="shared" si="1"/>
        <v>19.5</v>
      </c>
    </row>
    <row r="8" spans="1:27" x14ac:dyDescent="0.35">
      <c r="A8" s="100"/>
      <c r="B8" s="1">
        <v>32</v>
      </c>
      <c r="C8" s="1" t="s">
        <v>698</v>
      </c>
      <c r="D8" s="1" t="s">
        <v>698</v>
      </c>
      <c r="E8" s="1" t="s">
        <v>698</v>
      </c>
      <c r="F8" s="1" t="s">
        <v>698</v>
      </c>
      <c r="G8" s="1" t="s">
        <v>698</v>
      </c>
      <c r="H8" s="1" t="s">
        <v>698</v>
      </c>
      <c r="I8" s="1" t="s">
        <v>698</v>
      </c>
      <c r="J8" s="1">
        <f t="shared" si="0"/>
        <v>1</v>
      </c>
      <c r="L8" s="1" t="s">
        <v>723</v>
      </c>
      <c r="M8" s="7">
        <v>6</v>
      </c>
      <c r="N8" s="5" t="s">
        <v>706</v>
      </c>
      <c r="O8" s="3" t="s">
        <v>707</v>
      </c>
      <c r="P8" s="3" t="s">
        <v>14</v>
      </c>
      <c r="Q8" s="3">
        <v>1</v>
      </c>
      <c r="R8" s="43">
        <f>VLOOKUP('32'!O8,Malzemeler!C:D,2,0)</f>
        <v>0</v>
      </c>
      <c r="S8" s="43">
        <f t="shared" si="1"/>
        <v>0</v>
      </c>
    </row>
    <row r="9" spans="1:27" x14ac:dyDescent="0.35">
      <c r="A9" s="100"/>
      <c r="B9" s="1">
        <v>32</v>
      </c>
      <c r="C9" s="1" t="s">
        <v>698</v>
      </c>
      <c r="D9" s="1" t="s">
        <v>698</v>
      </c>
      <c r="E9" s="1" t="s">
        <v>698</v>
      </c>
      <c r="F9" s="1" t="s">
        <v>698</v>
      </c>
      <c r="G9" s="1" t="s">
        <v>698</v>
      </c>
      <c r="H9" s="1" t="s">
        <v>698</v>
      </c>
      <c r="I9" s="1" t="s">
        <v>698</v>
      </c>
      <c r="J9" s="1">
        <f t="shared" si="0"/>
        <v>1</v>
      </c>
      <c r="L9" s="1" t="s">
        <v>723</v>
      </c>
      <c r="M9" s="7">
        <v>7</v>
      </c>
      <c r="N9" s="1" t="s">
        <v>276</v>
      </c>
      <c r="O9" s="3" t="s">
        <v>84</v>
      </c>
      <c r="P9" s="3" t="s">
        <v>14</v>
      </c>
      <c r="Q9" s="3">
        <v>2.1</v>
      </c>
      <c r="R9" s="43">
        <f>VLOOKUP('32'!O9,Malzemeler!C:D,2,0)</f>
        <v>7.85</v>
      </c>
      <c r="S9" s="43">
        <f t="shared" si="1"/>
        <v>16.484999999999999</v>
      </c>
    </row>
    <row r="10" spans="1:27" x14ac:dyDescent="0.35">
      <c r="A10" s="100"/>
      <c r="B10" s="1">
        <v>32</v>
      </c>
      <c r="C10" s="1" t="s">
        <v>698</v>
      </c>
      <c r="D10" s="1" t="s">
        <v>698</v>
      </c>
      <c r="E10" s="1" t="s">
        <v>698</v>
      </c>
      <c r="F10" s="1" t="s">
        <v>698</v>
      </c>
      <c r="G10" s="1" t="s">
        <v>698</v>
      </c>
      <c r="H10" s="1" t="s">
        <v>698</v>
      </c>
      <c r="I10" s="1" t="s">
        <v>698</v>
      </c>
      <c r="J10" s="1">
        <f t="shared" si="0"/>
        <v>1</v>
      </c>
      <c r="L10" s="1" t="s">
        <v>723</v>
      </c>
      <c r="M10" s="7">
        <v>8</v>
      </c>
      <c r="N10" s="1" t="s">
        <v>278</v>
      </c>
      <c r="O10" s="3" t="s">
        <v>74</v>
      </c>
      <c r="P10" s="3" t="s">
        <v>14</v>
      </c>
      <c r="Q10" s="3">
        <v>3.2</v>
      </c>
      <c r="R10" s="43">
        <f>VLOOKUP('32'!O10,Malzemeler!C:D,2,0)</f>
        <v>16.149999999999999</v>
      </c>
      <c r="S10" s="43">
        <f t="shared" si="1"/>
        <v>51.68</v>
      </c>
    </row>
    <row r="11" spans="1:27" x14ac:dyDescent="0.35">
      <c r="A11" s="100"/>
      <c r="B11" s="1">
        <v>32</v>
      </c>
      <c r="C11" s="1" t="s">
        <v>698</v>
      </c>
      <c r="D11" s="1" t="s">
        <v>698</v>
      </c>
      <c r="E11" s="1" t="s">
        <v>698</v>
      </c>
      <c r="F11" s="1" t="s">
        <v>698</v>
      </c>
      <c r="G11" s="1" t="s">
        <v>698</v>
      </c>
      <c r="H11" s="1" t="s">
        <v>698</v>
      </c>
      <c r="I11" s="1" t="s">
        <v>698</v>
      </c>
      <c r="J11" s="1">
        <f t="shared" si="0"/>
        <v>1</v>
      </c>
      <c r="L11" s="1" t="s">
        <v>723</v>
      </c>
      <c r="M11" s="7">
        <v>9</v>
      </c>
      <c r="N11" s="1" t="s">
        <v>353</v>
      </c>
      <c r="O11" s="3" t="s">
        <v>354</v>
      </c>
      <c r="P11" s="3" t="s">
        <v>14</v>
      </c>
      <c r="Q11" s="3">
        <v>2.2000000000000002</v>
      </c>
      <c r="R11" s="43">
        <f>VLOOKUP('32'!O11,Malzemeler!C:D,2,0)</f>
        <v>20.8</v>
      </c>
      <c r="S11" s="43">
        <f t="shared" si="1"/>
        <v>45.760000000000005</v>
      </c>
    </row>
    <row r="12" spans="1:27" x14ac:dyDescent="0.35">
      <c r="A12" s="100"/>
      <c r="B12" s="1">
        <v>32</v>
      </c>
      <c r="C12" s="1" t="s">
        <v>698</v>
      </c>
      <c r="D12" s="1" t="s">
        <v>698</v>
      </c>
      <c r="E12" s="1" t="s">
        <v>698</v>
      </c>
      <c r="F12" s="1" t="s">
        <v>698</v>
      </c>
      <c r="G12" s="1" t="s">
        <v>698</v>
      </c>
      <c r="H12" s="1" t="s">
        <v>698</v>
      </c>
      <c r="I12" s="1" t="s">
        <v>698</v>
      </c>
      <c r="J12" s="1">
        <f t="shared" si="0"/>
        <v>1</v>
      </c>
      <c r="L12" s="1" t="s">
        <v>723</v>
      </c>
      <c r="M12" s="7">
        <v>10</v>
      </c>
      <c r="N12" s="1" t="s">
        <v>279</v>
      </c>
      <c r="O12" s="3" t="s">
        <v>280</v>
      </c>
      <c r="P12" s="3" t="s">
        <v>14</v>
      </c>
      <c r="Q12" s="3">
        <v>4</v>
      </c>
      <c r="R12" s="43">
        <f>VLOOKUP('32'!O12,Malzemeler!C:D,2,0)</f>
        <v>0.3</v>
      </c>
      <c r="S12" s="43">
        <f t="shared" si="1"/>
        <v>1.2</v>
      </c>
    </row>
    <row r="13" spans="1:27" x14ac:dyDescent="0.35">
      <c r="A13" s="100"/>
      <c r="B13" s="1">
        <v>32</v>
      </c>
      <c r="C13" s="1" t="s">
        <v>698</v>
      </c>
      <c r="D13" s="1" t="s">
        <v>698</v>
      </c>
      <c r="E13" s="1" t="s">
        <v>698</v>
      </c>
      <c r="F13" s="1" t="s">
        <v>698</v>
      </c>
      <c r="G13" s="1" t="s">
        <v>698</v>
      </c>
      <c r="H13" s="1" t="s">
        <v>698</v>
      </c>
      <c r="I13" s="1" t="s">
        <v>698</v>
      </c>
      <c r="J13" s="1">
        <f t="shared" si="0"/>
        <v>1</v>
      </c>
      <c r="L13" s="1" t="s">
        <v>723</v>
      </c>
      <c r="M13" s="7">
        <v>11</v>
      </c>
      <c r="N13" s="1" t="s">
        <v>355</v>
      </c>
      <c r="O13" s="3" t="s">
        <v>356</v>
      </c>
      <c r="P13" s="3" t="s">
        <v>135</v>
      </c>
      <c r="Q13" s="3">
        <v>2</v>
      </c>
      <c r="R13" s="43">
        <f>VLOOKUP('32'!O13,Malzemeler!C:D,2,0)</f>
        <v>0.3</v>
      </c>
      <c r="S13" s="43">
        <f t="shared" si="1"/>
        <v>0.6</v>
      </c>
    </row>
    <row r="14" spans="1:27" x14ac:dyDescent="0.35">
      <c r="A14" s="100"/>
      <c r="B14" s="1">
        <v>32</v>
      </c>
      <c r="C14" s="1" t="s">
        <v>698</v>
      </c>
      <c r="D14" s="1" t="s">
        <v>698</v>
      </c>
      <c r="E14" s="1" t="s">
        <v>698</v>
      </c>
      <c r="F14" s="1" t="s">
        <v>698</v>
      </c>
      <c r="G14" s="1" t="s">
        <v>698</v>
      </c>
      <c r="H14" s="1" t="s">
        <v>698</v>
      </c>
      <c r="I14" s="1" t="s">
        <v>698</v>
      </c>
      <c r="J14" s="1">
        <f t="shared" si="0"/>
        <v>1</v>
      </c>
      <c r="L14" s="1" t="s">
        <v>723</v>
      </c>
      <c r="M14" s="7">
        <v>12</v>
      </c>
      <c r="N14" s="5" t="s">
        <v>87</v>
      </c>
      <c r="O14" s="3" t="s">
        <v>88</v>
      </c>
      <c r="P14" s="3" t="s">
        <v>14</v>
      </c>
      <c r="Q14" s="3">
        <v>0.3</v>
      </c>
      <c r="R14" s="43">
        <f>VLOOKUP('32'!O14,Malzemeler!C:D,2,0)</f>
        <v>1615.6</v>
      </c>
      <c r="S14" s="43">
        <f t="shared" si="1"/>
        <v>484.67999999999995</v>
      </c>
      <c r="X14" s="5"/>
    </row>
    <row r="15" spans="1:27" x14ac:dyDescent="0.35">
      <c r="A15" s="100"/>
      <c r="B15" s="1">
        <v>32</v>
      </c>
      <c r="C15" s="1" t="s">
        <v>698</v>
      </c>
      <c r="D15" s="1" t="s">
        <v>698</v>
      </c>
      <c r="E15" s="1" t="s">
        <v>698</v>
      </c>
      <c r="F15" s="1" t="s">
        <v>698</v>
      </c>
      <c r="G15" s="1" t="s">
        <v>698</v>
      </c>
      <c r="H15" s="1" t="s">
        <v>698</v>
      </c>
      <c r="I15" s="1" t="s">
        <v>698</v>
      </c>
      <c r="J15" s="1">
        <f t="shared" si="0"/>
        <v>1</v>
      </c>
      <c r="L15" s="1" t="s">
        <v>723</v>
      </c>
      <c r="M15" s="7">
        <v>13</v>
      </c>
      <c r="N15" s="5" t="s">
        <v>69</v>
      </c>
      <c r="O15" s="3" t="s">
        <v>81</v>
      </c>
      <c r="P15" s="3" t="s">
        <v>14</v>
      </c>
      <c r="Q15" s="3">
        <v>0.4</v>
      </c>
      <c r="R15" s="43">
        <f>VLOOKUP('32'!O15,Malzemeler!C:D,2,0)</f>
        <v>40</v>
      </c>
      <c r="S15" s="43">
        <f t="shared" si="1"/>
        <v>16</v>
      </c>
      <c r="X15" s="5"/>
    </row>
    <row r="16" spans="1:27" x14ac:dyDescent="0.35">
      <c r="A16" s="100"/>
      <c r="B16" s="1">
        <v>32</v>
      </c>
      <c r="C16" s="1" t="s">
        <v>698</v>
      </c>
      <c r="D16" s="1" t="s">
        <v>698</v>
      </c>
      <c r="E16" s="1" t="s">
        <v>698</v>
      </c>
      <c r="F16" s="1" t="s">
        <v>698</v>
      </c>
      <c r="G16" s="1" t="s">
        <v>698</v>
      </c>
      <c r="H16" s="1" t="s">
        <v>698</v>
      </c>
      <c r="I16" s="1" t="s">
        <v>698</v>
      </c>
      <c r="J16" s="1">
        <f t="shared" si="0"/>
        <v>1</v>
      </c>
      <c r="L16" s="1" t="s">
        <v>723</v>
      </c>
      <c r="M16" s="7">
        <v>14</v>
      </c>
      <c r="N16" s="5" t="s">
        <v>89</v>
      </c>
      <c r="O16" s="3" t="s">
        <v>75</v>
      </c>
      <c r="P16" s="3" t="s">
        <v>14</v>
      </c>
      <c r="Q16" s="3">
        <v>0.1</v>
      </c>
      <c r="R16" s="43">
        <f>VLOOKUP('32'!O16,Malzemeler!C:D,2,0)</f>
        <v>150</v>
      </c>
      <c r="S16" s="43">
        <f t="shared" si="1"/>
        <v>15</v>
      </c>
    </row>
    <row r="17" spans="1:19" x14ac:dyDescent="0.35">
      <c r="A17" s="100"/>
      <c r="B17" s="1">
        <v>32</v>
      </c>
      <c r="C17" s="1" t="s">
        <v>698</v>
      </c>
      <c r="D17" s="1" t="s">
        <v>698</v>
      </c>
      <c r="E17" s="1" t="s">
        <v>698</v>
      </c>
      <c r="F17" s="1" t="s">
        <v>698</v>
      </c>
      <c r="G17" s="1" t="s">
        <v>698</v>
      </c>
      <c r="H17" s="1" t="s">
        <v>698</v>
      </c>
      <c r="I17" s="1" t="s">
        <v>698</v>
      </c>
      <c r="J17" s="1">
        <f t="shared" si="0"/>
        <v>1</v>
      </c>
      <c r="L17" s="1" t="s">
        <v>723</v>
      </c>
      <c r="M17" s="7">
        <v>15</v>
      </c>
      <c r="N17" s="5" t="s">
        <v>66</v>
      </c>
      <c r="O17" s="3" t="s">
        <v>78</v>
      </c>
      <c r="P17" s="3" t="s">
        <v>14</v>
      </c>
      <c r="Q17" s="3">
        <v>0.8</v>
      </c>
      <c r="R17" s="43">
        <f>VLOOKUP('32'!O17,Malzemeler!C:D,2,0)</f>
        <v>30</v>
      </c>
      <c r="S17" s="43">
        <f t="shared" si="1"/>
        <v>24</v>
      </c>
    </row>
    <row r="18" spans="1:19" x14ac:dyDescent="0.35">
      <c r="A18" s="100"/>
      <c r="B18" s="1">
        <v>32</v>
      </c>
      <c r="C18" s="1" t="s">
        <v>698</v>
      </c>
      <c r="D18" s="1" t="s">
        <v>698</v>
      </c>
      <c r="E18" s="1" t="s">
        <v>698</v>
      </c>
      <c r="F18" s="1" t="s">
        <v>698</v>
      </c>
      <c r="G18" s="1" t="s">
        <v>698</v>
      </c>
      <c r="H18" s="1" t="s">
        <v>698</v>
      </c>
      <c r="I18" s="1" t="s">
        <v>698</v>
      </c>
      <c r="J18" s="1">
        <f t="shared" si="0"/>
        <v>1</v>
      </c>
      <c r="L18" s="1" t="s">
        <v>723</v>
      </c>
      <c r="M18" s="7">
        <v>16</v>
      </c>
      <c r="N18" s="5" t="s">
        <v>65</v>
      </c>
      <c r="O18" s="3" t="s">
        <v>77</v>
      </c>
      <c r="P18" s="3" t="s">
        <v>14</v>
      </c>
      <c r="Q18" s="3">
        <v>2</v>
      </c>
      <c r="R18" s="43">
        <f>VLOOKUP('32'!O18,Malzemeler!C:D,2,0)</f>
        <v>150</v>
      </c>
      <c r="S18" s="43">
        <f t="shared" si="1"/>
        <v>300</v>
      </c>
    </row>
    <row r="19" spans="1:19" x14ac:dyDescent="0.35">
      <c r="A19" s="100"/>
      <c r="B19" s="1">
        <v>32</v>
      </c>
      <c r="C19" s="1" t="s">
        <v>698</v>
      </c>
      <c r="D19" s="1" t="s">
        <v>698</v>
      </c>
      <c r="E19" s="1" t="s">
        <v>698</v>
      </c>
      <c r="F19" s="1" t="s">
        <v>698</v>
      </c>
      <c r="G19" s="1" t="s">
        <v>698</v>
      </c>
      <c r="H19" s="1" t="s">
        <v>698</v>
      </c>
      <c r="I19" s="1" t="s">
        <v>698</v>
      </c>
      <c r="J19" s="1">
        <f t="shared" si="0"/>
        <v>1</v>
      </c>
      <c r="L19" s="1" t="s">
        <v>723</v>
      </c>
      <c r="M19" s="7">
        <v>17</v>
      </c>
      <c r="N19" s="5" t="s">
        <v>293</v>
      </c>
      <c r="O19" s="3" t="s">
        <v>294</v>
      </c>
      <c r="P19" s="3" t="s">
        <v>14</v>
      </c>
      <c r="Q19" s="3">
        <v>1</v>
      </c>
      <c r="R19" s="43">
        <f>VLOOKUP('32'!O19,Malzemeler!C:D,2,0)</f>
        <v>812.4</v>
      </c>
      <c r="S19" s="43">
        <f t="shared" si="1"/>
        <v>812.4</v>
      </c>
    </row>
    <row r="20" spans="1:19" x14ac:dyDescent="0.35">
      <c r="A20" s="100"/>
      <c r="B20" s="1">
        <v>32</v>
      </c>
      <c r="C20" s="1" t="s">
        <v>698</v>
      </c>
      <c r="D20" s="1" t="s">
        <v>698</v>
      </c>
      <c r="E20" s="1" t="s">
        <v>698</v>
      </c>
      <c r="F20" s="1" t="s">
        <v>698</v>
      </c>
      <c r="G20" s="1" t="s">
        <v>698</v>
      </c>
      <c r="H20" s="1" t="s">
        <v>698</v>
      </c>
      <c r="I20" s="1" t="s">
        <v>698</v>
      </c>
      <c r="J20" s="1">
        <f t="shared" si="0"/>
        <v>1</v>
      </c>
      <c r="L20" s="1" t="s">
        <v>723</v>
      </c>
      <c r="M20" s="7">
        <v>18</v>
      </c>
      <c r="N20" s="5" t="s">
        <v>293</v>
      </c>
      <c r="O20" s="3" t="s">
        <v>294</v>
      </c>
      <c r="P20" s="3" t="s">
        <v>14</v>
      </c>
      <c r="Q20" s="3">
        <v>1</v>
      </c>
      <c r="R20" s="43">
        <f>VLOOKUP('32'!O20,Malzemeler!C:D,2,0)</f>
        <v>812.4</v>
      </c>
      <c r="S20" s="43">
        <f t="shared" si="1"/>
        <v>812.4</v>
      </c>
    </row>
    <row r="21" spans="1:19" x14ac:dyDescent="0.35">
      <c r="A21" s="100"/>
      <c r="B21" s="1">
        <v>32</v>
      </c>
      <c r="C21" s="1" t="s">
        <v>698</v>
      </c>
      <c r="D21" s="1" t="s">
        <v>698</v>
      </c>
      <c r="E21" s="1" t="s">
        <v>698</v>
      </c>
      <c r="F21" s="1" t="s">
        <v>698</v>
      </c>
      <c r="G21" s="1" t="s">
        <v>698</v>
      </c>
      <c r="H21" s="1" t="s">
        <v>698</v>
      </c>
      <c r="I21" s="1" t="s">
        <v>698</v>
      </c>
      <c r="J21" s="1">
        <f t="shared" si="0"/>
        <v>1</v>
      </c>
      <c r="L21" s="1" t="s">
        <v>723</v>
      </c>
      <c r="M21" s="7">
        <v>19</v>
      </c>
      <c r="N21" s="5" t="s">
        <v>289</v>
      </c>
      <c r="O21" s="3" t="s">
        <v>290</v>
      </c>
      <c r="P21" s="3" t="s">
        <v>14</v>
      </c>
      <c r="Q21" s="3">
        <v>1</v>
      </c>
      <c r="R21" s="43">
        <f>VLOOKUP('32'!O21,Malzemeler!C:D,2,0)</f>
        <v>1624.32</v>
      </c>
      <c r="S21" s="43">
        <f t="shared" si="1"/>
        <v>1624.32</v>
      </c>
    </row>
    <row r="22" spans="1:19" x14ac:dyDescent="0.35">
      <c r="A22" s="100"/>
      <c r="B22" s="1">
        <v>32</v>
      </c>
      <c r="C22" s="1" t="s">
        <v>572</v>
      </c>
      <c r="D22" s="1" t="s">
        <v>698</v>
      </c>
      <c r="E22" s="1" t="s">
        <v>698</v>
      </c>
      <c r="F22" s="1" t="s">
        <v>698</v>
      </c>
      <c r="G22" s="1" t="s">
        <v>698</v>
      </c>
      <c r="H22" s="1" t="s">
        <v>698</v>
      </c>
      <c r="I22" s="1" t="s">
        <v>698</v>
      </c>
      <c r="J22" s="1">
        <f t="shared" si="0"/>
        <v>1</v>
      </c>
      <c r="L22" s="1" t="s">
        <v>723</v>
      </c>
      <c r="M22" s="7">
        <v>20</v>
      </c>
      <c r="N22" s="1" t="s">
        <v>560</v>
      </c>
      <c r="O22" s="3" t="s">
        <v>192</v>
      </c>
      <c r="P22" s="3" t="s">
        <v>14</v>
      </c>
      <c r="Q22" s="3">
        <v>1</v>
      </c>
      <c r="R22" s="43">
        <f>VLOOKUP('32'!O22,Malzemeler!C:D,2,0)</f>
        <v>410</v>
      </c>
      <c r="S22" s="43">
        <f t="shared" si="1"/>
        <v>410</v>
      </c>
    </row>
    <row r="23" spans="1:19" x14ac:dyDescent="0.35">
      <c r="A23" s="100"/>
      <c r="B23" s="1">
        <v>32</v>
      </c>
      <c r="C23" s="1" t="s">
        <v>572</v>
      </c>
      <c r="D23" s="1" t="s">
        <v>698</v>
      </c>
      <c r="E23" s="1" t="s">
        <v>698</v>
      </c>
      <c r="F23" s="1" t="s">
        <v>698</v>
      </c>
      <c r="G23" s="1" t="s">
        <v>698</v>
      </c>
      <c r="H23" s="1" t="s">
        <v>698</v>
      </c>
      <c r="I23" s="1" t="s">
        <v>698</v>
      </c>
      <c r="J23" s="1">
        <f t="shared" si="0"/>
        <v>1</v>
      </c>
      <c r="L23" s="1" t="s">
        <v>723</v>
      </c>
      <c r="M23" s="7">
        <v>21</v>
      </c>
      <c r="N23" s="5" t="s">
        <v>291</v>
      </c>
      <c r="O23" s="3" t="s">
        <v>524</v>
      </c>
      <c r="P23" s="3" t="s">
        <v>14</v>
      </c>
      <c r="Q23" s="3">
        <v>1</v>
      </c>
      <c r="R23" s="43">
        <f>VLOOKUP('32'!O23,Malzemeler!C:D,2,0)</f>
        <v>1085</v>
      </c>
      <c r="S23" s="43">
        <f t="shared" si="1"/>
        <v>1085</v>
      </c>
    </row>
    <row r="24" spans="1:19" x14ac:dyDescent="0.35">
      <c r="A24" s="100"/>
      <c r="B24" s="1">
        <v>32</v>
      </c>
      <c r="C24" s="1" t="s">
        <v>572</v>
      </c>
      <c r="D24" s="1" t="s">
        <v>698</v>
      </c>
      <c r="E24" s="1" t="s">
        <v>698</v>
      </c>
      <c r="F24" s="1" t="s">
        <v>698</v>
      </c>
      <c r="G24" s="1" t="s">
        <v>698</v>
      </c>
      <c r="H24" s="1" t="s">
        <v>698</v>
      </c>
      <c r="I24" s="1" t="s">
        <v>698</v>
      </c>
      <c r="J24" s="1">
        <f t="shared" si="0"/>
        <v>1</v>
      </c>
      <c r="L24" s="1" t="s">
        <v>723</v>
      </c>
      <c r="M24" s="7">
        <v>22</v>
      </c>
      <c r="N24" s="5" t="s">
        <v>292</v>
      </c>
      <c r="O24" s="3" t="s">
        <v>533</v>
      </c>
      <c r="P24" s="3" t="s">
        <v>14</v>
      </c>
      <c r="Q24" s="3">
        <v>1</v>
      </c>
      <c r="R24" s="43">
        <f>VLOOKUP('32'!O24,Malzemeler!C:D,2,0)</f>
        <v>700</v>
      </c>
      <c r="S24" s="43">
        <f t="shared" si="1"/>
        <v>700</v>
      </c>
    </row>
    <row r="25" spans="1:19" x14ac:dyDescent="0.35">
      <c r="A25" s="100"/>
      <c r="B25" s="1">
        <v>32</v>
      </c>
      <c r="C25" s="1" t="s">
        <v>573</v>
      </c>
      <c r="D25" s="1" t="s">
        <v>698</v>
      </c>
      <c r="E25" s="1" t="s">
        <v>698</v>
      </c>
      <c r="F25" s="1" t="s">
        <v>698</v>
      </c>
      <c r="G25" s="1" t="s">
        <v>698</v>
      </c>
      <c r="H25" s="1" t="s">
        <v>698</v>
      </c>
      <c r="I25" s="1" t="s">
        <v>698</v>
      </c>
      <c r="J25" s="1">
        <f t="shared" ref="J25:J27" si="2">SUBTOTAL(103,B25)</f>
        <v>1</v>
      </c>
      <c r="L25" s="1" t="s">
        <v>748</v>
      </c>
      <c r="M25" s="7">
        <v>20</v>
      </c>
      <c r="N25" s="28" t="s">
        <v>560</v>
      </c>
      <c r="O25" s="3" t="s">
        <v>192</v>
      </c>
      <c r="P25" s="3" t="s">
        <v>14</v>
      </c>
      <c r="Q25" s="3">
        <v>1</v>
      </c>
      <c r="R25" s="43">
        <f>VLOOKUP('32'!O25,Malzemeler!C:D,2,0)</f>
        <v>410</v>
      </c>
      <c r="S25" s="43">
        <f t="shared" ref="S25:S27" si="3">+R25*Q25</f>
        <v>410</v>
      </c>
    </row>
    <row r="26" spans="1:19" x14ac:dyDescent="0.35">
      <c r="A26" s="100"/>
      <c r="B26" s="1">
        <v>32</v>
      </c>
      <c r="C26" s="1" t="s">
        <v>573</v>
      </c>
      <c r="D26" s="1" t="s">
        <v>698</v>
      </c>
      <c r="E26" s="1" t="s">
        <v>698</v>
      </c>
      <c r="F26" s="1" t="s">
        <v>698</v>
      </c>
      <c r="G26" s="1" t="s">
        <v>698</v>
      </c>
      <c r="H26" s="1" t="s">
        <v>698</v>
      </c>
      <c r="I26" s="1" t="s">
        <v>698</v>
      </c>
      <c r="J26" s="1">
        <f t="shared" si="2"/>
        <v>1</v>
      </c>
      <c r="L26" s="1" t="s">
        <v>748</v>
      </c>
      <c r="M26" s="7">
        <v>21</v>
      </c>
      <c r="N26" s="66" t="s">
        <v>291</v>
      </c>
      <c r="O26" s="3" t="s">
        <v>524</v>
      </c>
      <c r="P26" s="3" t="s">
        <v>14</v>
      </c>
      <c r="Q26" s="3">
        <v>1</v>
      </c>
      <c r="R26" s="43">
        <f>VLOOKUP('32'!O26,Malzemeler!C:D,2,0)</f>
        <v>1085</v>
      </c>
      <c r="S26" s="43">
        <f t="shared" si="3"/>
        <v>1085</v>
      </c>
    </row>
    <row r="27" spans="1:19" x14ac:dyDescent="0.35">
      <c r="A27" s="100"/>
      <c r="B27" s="1">
        <v>32</v>
      </c>
      <c r="C27" s="1" t="s">
        <v>573</v>
      </c>
      <c r="D27" s="1" t="s">
        <v>698</v>
      </c>
      <c r="E27" s="1" t="s">
        <v>698</v>
      </c>
      <c r="F27" s="1" t="s">
        <v>698</v>
      </c>
      <c r="G27" s="1" t="s">
        <v>698</v>
      </c>
      <c r="H27" s="1" t="s">
        <v>698</v>
      </c>
      <c r="I27" s="1" t="s">
        <v>698</v>
      </c>
      <c r="J27" s="1">
        <f t="shared" si="2"/>
        <v>1</v>
      </c>
      <c r="L27" s="1" t="s">
        <v>748</v>
      </c>
      <c r="M27" s="7">
        <v>22</v>
      </c>
      <c r="N27" s="66" t="s">
        <v>292</v>
      </c>
      <c r="O27" s="3" t="s">
        <v>533</v>
      </c>
      <c r="P27" s="3" t="s">
        <v>14</v>
      </c>
      <c r="Q27" s="3">
        <v>1</v>
      </c>
      <c r="R27" s="43">
        <f>VLOOKUP('32'!O27,Malzemeler!C:D,2,0)</f>
        <v>700</v>
      </c>
      <c r="S27" s="43">
        <f t="shared" si="3"/>
        <v>700</v>
      </c>
    </row>
    <row r="28" spans="1:19" x14ac:dyDescent="0.35">
      <c r="A28" s="100"/>
      <c r="B28" s="1">
        <v>32</v>
      </c>
      <c r="C28" s="1" t="s">
        <v>698</v>
      </c>
      <c r="D28" s="1" t="s">
        <v>698</v>
      </c>
      <c r="E28" s="1" t="s">
        <v>698</v>
      </c>
      <c r="F28" s="1" t="s">
        <v>698</v>
      </c>
      <c r="G28" s="1" t="s">
        <v>698</v>
      </c>
      <c r="H28" s="1" t="s">
        <v>698</v>
      </c>
      <c r="I28" s="1" t="s">
        <v>698</v>
      </c>
      <c r="J28" s="1">
        <f t="shared" ref="J28:J58" si="4">SUBTOTAL(103,B28)</f>
        <v>1</v>
      </c>
      <c r="L28" s="1" t="s">
        <v>749</v>
      </c>
      <c r="M28" s="7">
        <v>23</v>
      </c>
      <c r="N28" s="5" t="s">
        <v>633</v>
      </c>
      <c r="O28" s="3" t="s">
        <v>633</v>
      </c>
      <c r="P28" s="3" t="s">
        <v>14</v>
      </c>
      <c r="Q28" s="3">
        <v>8</v>
      </c>
      <c r="R28" s="43">
        <f>VLOOKUP('32'!O28,Malzemeler!C:D,2,0)</f>
        <v>0</v>
      </c>
      <c r="S28" s="43">
        <f t="shared" si="1"/>
        <v>0</v>
      </c>
    </row>
    <row r="29" spans="1:19" x14ac:dyDescent="0.35">
      <c r="A29" s="100"/>
      <c r="B29" s="1">
        <v>32</v>
      </c>
      <c r="C29" s="1" t="s">
        <v>698</v>
      </c>
      <c r="D29" s="1" t="s">
        <v>698</v>
      </c>
      <c r="E29" s="1" t="s">
        <v>698</v>
      </c>
      <c r="F29" s="1" t="s">
        <v>698</v>
      </c>
      <c r="G29" s="1" t="s">
        <v>698</v>
      </c>
      <c r="H29" s="1" t="s">
        <v>698</v>
      </c>
      <c r="I29" s="1" t="s">
        <v>698</v>
      </c>
      <c r="J29" s="1">
        <f t="shared" si="4"/>
        <v>1</v>
      </c>
      <c r="L29" s="1" t="s">
        <v>749</v>
      </c>
      <c r="M29" s="7">
        <v>24</v>
      </c>
      <c r="N29" s="5" t="s">
        <v>634</v>
      </c>
      <c r="O29" s="3" t="s">
        <v>634</v>
      </c>
      <c r="P29" s="3" t="s">
        <v>14</v>
      </c>
      <c r="Q29" s="3">
        <v>20</v>
      </c>
      <c r="R29" s="43">
        <f>VLOOKUP('32'!O29,Malzemeler!C:D,2,0)</f>
        <v>0</v>
      </c>
      <c r="S29" s="43">
        <f t="shared" si="1"/>
        <v>0</v>
      </c>
    </row>
    <row r="30" spans="1:19" x14ac:dyDescent="0.35">
      <c r="A30" s="100"/>
      <c r="B30" s="1">
        <v>32</v>
      </c>
      <c r="C30" s="1" t="s">
        <v>698</v>
      </c>
      <c r="D30" s="1" t="s">
        <v>698</v>
      </c>
      <c r="E30" s="1" t="s">
        <v>698</v>
      </c>
      <c r="F30" s="1" t="s">
        <v>698</v>
      </c>
      <c r="G30" s="1" t="s">
        <v>698</v>
      </c>
      <c r="H30" s="1" t="s">
        <v>698</v>
      </c>
      <c r="I30" s="1" t="s">
        <v>698</v>
      </c>
      <c r="J30" s="1">
        <f t="shared" si="4"/>
        <v>1</v>
      </c>
      <c r="L30" s="1" t="s">
        <v>749</v>
      </c>
      <c r="M30" s="7">
        <v>25</v>
      </c>
      <c r="N30" s="5" t="s">
        <v>635</v>
      </c>
      <c r="O30" s="3" t="s">
        <v>635</v>
      </c>
      <c r="P30" s="3" t="s">
        <v>14</v>
      </c>
      <c r="Q30" s="3">
        <v>15</v>
      </c>
      <c r="R30" s="43">
        <f>VLOOKUP('32'!O30,Malzemeler!C:D,2,0)</f>
        <v>0</v>
      </c>
      <c r="S30" s="43">
        <f t="shared" si="1"/>
        <v>0</v>
      </c>
    </row>
    <row r="31" spans="1:19" x14ac:dyDescent="0.35">
      <c r="A31" s="100"/>
      <c r="B31" s="1">
        <v>32</v>
      </c>
      <c r="C31" s="1" t="s">
        <v>698</v>
      </c>
      <c r="D31" s="1" t="s">
        <v>698</v>
      </c>
      <c r="E31" s="1" t="s">
        <v>698</v>
      </c>
      <c r="F31" s="1" t="s">
        <v>698</v>
      </c>
      <c r="G31" s="1" t="s">
        <v>698</v>
      </c>
      <c r="H31" s="1" t="s">
        <v>698</v>
      </c>
      <c r="I31" s="1" t="s">
        <v>698</v>
      </c>
      <c r="J31" s="1">
        <f t="shared" si="4"/>
        <v>1</v>
      </c>
      <c r="L31" s="1" t="s">
        <v>723</v>
      </c>
      <c r="M31" s="7">
        <v>26</v>
      </c>
      <c r="N31" s="5" t="s">
        <v>636</v>
      </c>
      <c r="O31" s="3" t="s">
        <v>636</v>
      </c>
      <c r="P31" s="3" t="s">
        <v>14</v>
      </c>
      <c r="Q31" s="3">
        <v>8</v>
      </c>
      <c r="R31" s="43">
        <f>VLOOKUP('32'!O31,Malzemeler!C:D,2,0)</f>
        <v>0</v>
      </c>
      <c r="S31" s="43">
        <f t="shared" si="1"/>
        <v>0</v>
      </c>
    </row>
    <row r="32" spans="1:19" x14ac:dyDescent="0.35">
      <c r="A32" s="100"/>
      <c r="B32" s="1">
        <v>32</v>
      </c>
      <c r="C32" s="1" t="s">
        <v>698</v>
      </c>
      <c r="D32" s="1" t="s">
        <v>698</v>
      </c>
      <c r="E32" s="1" t="s">
        <v>698</v>
      </c>
      <c r="F32" s="1" t="s">
        <v>698</v>
      </c>
      <c r="G32" s="1" t="s">
        <v>698</v>
      </c>
      <c r="H32" s="1" t="s">
        <v>698</v>
      </c>
      <c r="I32" s="1" t="s">
        <v>698</v>
      </c>
      <c r="J32" s="1">
        <f t="shared" si="4"/>
        <v>1</v>
      </c>
      <c r="L32" s="1" t="s">
        <v>723</v>
      </c>
      <c r="M32" s="7">
        <v>27</v>
      </c>
      <c r="N32" s="5" t="s">
        <v>221</v>
      </c>
      <c r="O32" s="3" t="s">
        <v>222</v>
      </c>
      <c r="P32" s="3" t="s">
        <v>14</v>
      </c>
      <c r="Q32" s="3">
        <v>920.51599999999985</v>
      </c>
      <c r="R32" s="43">
        <f>VLOOKUP('32'!O32,Malzemeler!C:D,2,0)</f>
        <v>1.07</v>
      </c>
      <c r="S32" s="43">
        <f t="shared" si="1"/>
        <v>984.95211999999992</v>
      </c>
    </row>
    <row r="33" spans="1:19" x14ac:dyDescent="0.35">
      <c r="A33" s="100"/>
      <c r="B33" s="1">
        <v>32</v>
      </c>
      <c r="C33" s="1" t="s">
        <v>698</v>
      </c>
      <c r="D33" s="1" t="s">
        <v>698</v>
      </c>
      <c r="E33" s="1" t="s">
        <v>698</v>
      </c>
      <c r="F33" s="1" t="s">
        <v>698</v>
      </c>
      <c r="G33" s="1" t="s">
        <v>698</v>
      </c>
      <c r="H33" s="1" t="s">
        <v>698</v>
      </c>
      <c r="I33" s="1" t="s">
        <v>698</v>
      </c>
      <c r="J33" s="1">
        <f t="shared" si="4"/>
        <v>1</v>
      </c>
      <c r="L33" s="1" t="s">
        <v>723</v>
      </c>
      <c r="M33" s="7">
        <v>28</v>
      </c>
      <c r="N33" s="5" t="s">
        <v>637</v>
      </c>
      <c r="O33" s="3" t="s">
        <v>655</v>
      </c>
      <c r="P33" s="3" t="s">
        <v>14</v>
      </c>
      <c r="Q33" s="3">
        <v>7.3916000000000004</v>
      </c>
      <c r="R33" s="43">
        <f>VLOOKUP('32'!O33,Malzemeler!C:D,2,0)</f>
        <v>0</v>
      </c>
      <c r="S33" s="43">
        <f t="shared" si="1"/>
        <v>0</v>
      </c>
    </row>
    <row r="34" spans="1:19" x14ac:dyDescent="0.35">
      <c r="A34" s="100"/>
      <c r="B34" s="1">
        <v>32</v>
      </c>
      <c r="C34" s="1" t="s">
        <v>698</v>
      </c>
      <c r="D34" s="1" t="s">
        <v>698</v>
      </c>
      <c r="E34" s="1" t="s">
        <v>698</v>
      </c>
      <c r="F34" s="1" t="s">
        <v>698</v>
      </c>
      <c r="G34" s="1" t="s">
        <v>698</v>
      </c>
      <c r="H34" s="1" t="s">
        <v>698</v>
      </c>
      <c r="I34" s="1" t="s">
        <v>698</v>
      </c>
      <c r="J34" s="1">
        <f t="shared" si="4"/>
        <v>1</v>
      </c>
      <c r="L34" s="1" t="s">
        <v>723</v>
      </c>
      <c r="M34" s="7">
        <v>29</v>
      </c>
      <c r="N34" s="5" t="s">
        <v>223</v>
      </c>
      <c r="O34" s="3" t="s">
        <v>224</v>
      </c>
      <c r="P34" s="3" t="s">
        <v>14</v>
      </c>
      <c r="Q34" s="3">
        <v>12.546000000000001</v>
      </c>
      <c r="R34" s="43">
        <f>VLOOKUP('32'!O34,Malzemeler!C:D,2,0)</f>
        <v>1.23</v>
      </c>
      <c r="S34" s="43">
        <f t="shared" si="1"/>
        <v>15.431580000000002</v>
      </c>
    </row>
    <row r="35" spans="1:19" x14ac:dyDescent="0.35">
      <c r="A35" s="100"/>
      <c r="B35" s="1">
        <v>32</v>
      </c>
      <c r="C35" s="1" t="s">
        <v>698</v>
      </c>
      <c r="D35" s="1" t="s">
        <v>698</v>
      </c>
      <c r="E35" s="1" t="s">
        <v>698</v>
      </c>
      <c r="F35" s="1" t="s">
        <v>698</v>
      </c>
      <c r="G35" s="1" t="s">
        <v>698</v>
      </c>
      <c r="H35" s="1" t="s">
        <v>698</v>
      </c>
      <c r="I35" s="1" t="s">
        <v>698</v>
      </c>
      <c r="J35" s="1">
        <f t="shared" si="4"/>
        <v>1</v>
      </c>
      <c r="L35" s="1" t="s">
        <v>723</v>
      </c>
      <c r="M35" s="7">
        <v>30</v>
      </c>
      <c r="N35" s="5" t="s">
        <v>227</v>
      </c>
      <c r="O35" s="3" t="s">
        <v>97</v>
      </c>
      <c r="P35" s="3" t="s">
        <v>14</v>
      </c>
      <c r="Q35" s="3">
        <v>115.02163334400001</v>
      </c>
      <c r="R35" s="43">
        <f>VLOOKUP('32'!O35,Malzemeler!C:D,2,0)</f>
        <v>0.8</v>
      </c>
      <c r="S35" s="43">
        <f t="shared" si="1"/>
        <v>92.017306675200018</v>
      </c>
    </row>
    <row r="36" spans="1:19" x14ac:dyDescent="0.35">
      <c r="A36" s="100"/>
      <c r="B36" s="1">
        <v>32</v>
      </c>
      <c r="C36" s="1" t="s">
        <v>698</v>
      </c>
      <c r="D36" s="1" t="s">
        <v>698</v>
      </c>
      <c r="E36" s="1" t="s">
        <v>698</v>
      </c>
      <c r="F36" s="1" t="s">
        <v>698</v>
      </c>
      <c r="G36" s="1" t="s">
        <v>698</v>
      </c>
      <c r="H36" s="1" t="s">
        <v>698</v>
      </c>
      <c r="I36" s="1" t="s">
        <v>698</v>
      </c>
      <c r="J36" s="1">
        <f t="shared" si="4"/>
        <v>1</v>
      </c>
      <c r="L36" s="1" t="s">
        <v>723</v>
      </c>
      <c r="M36" s="7">
        <v>31</v>
      </c>
      <c r="N36" s="5" t="s">
        <v>228</v>
      </c>
      <c r="O36" s="3" t="s">
        <v>229</v>
      </c>
      <c r="P36" s="3" t="s">
        <v>14</v>
      </c>
      <c r="Q36" s="3">
        <v>250.06728000000001</v>
      </c>
      <c r="R36" s="43">
        <f>VLOOKUP('32'!O36,Malzemeler!C:D,2,0)</f>
        <v>0.79</v>
      </c>
      <c r="S36" s="43">
        <f t="shared" si="1"/>
        <v>197.55315120000003</v>
      </c>
    </row>
    <row r="37" spans="1:19" x14ac:dyDescent="0.35">
      <c r="A37" s="100"/>
      <c r="B37" s="1">
        <v>32</v>
      </c>
      <c r="C37" s="1" t="s">
        <v>698</v>
      </c>
      <c r="D37" s="1" t="s">
        <v>698</v>
      </c>
      <c r="E37" s="1" t="s">
        <v>698</v>
      </c>
      <c r="F37" s="1" t="s">
        <v>698</v>
      </c>
      <c r="G37" s="1" t="s">
        <v>698</v>
      </c>
      <c r="H37" s="1" t="s">
        <v>698</v>
      </c>
      <c r="I37" s="1" t="s">
        <v>698</v>
      </c>
      <c r="J37" s="1">
        <f t="shared" si="4"/>
        <v>1</v>
      </c>
      <c r="L37" s="1" t="s">
        <v>723</v>
      </c>
      <c r="M37" s="7">
        <v>32</v>
      </c>
      <c r="N37" s="5" t="s">
        <v>438</v>
      </c>
      <c r="O37" s="3" t="s">
        <v>231</v>
      </c>
      <c r="P37" s="3" t="s">
        <v>14</v>
      </c>
      <c r="Q37" s="3">
        <v>40.508162604800006</v>
      </c>
      <c r="R37" s="43">
        <f>VLOOKUP('32'!O37,Malzemeler!C:D,2,0)</f>
        <v>0.85</v>
      </c>
      <c r="S37" s="43">
        <f t="shared" si="1"/>
        <v>34.431938214080006</v>
      </c>
    </row>
    <row r="38" spans="1:19" x14ac:dyDescent="0.35">
      <c r="A38" s="100"/>
      <c r="B38" s="1">
        <v>32</v>
      </c>
      <c r="C38" s="1" t="s">
        <v>698</v>
      </c>
      <c r="D38" s="1" t="s">
        <v>698</v>
      </c>
      <c r="E38" s="1" t="s">
        <v>698</v>
      </c>
      <c r="F38" s="1" t="s">
        <v>698</v>
      </c>
      <c r="G38" s="1" t="s">
        <v>698</v>
      </c>
      <c r="H38" s="1" t="s">
        <v>698</v>
      </c>
      <c r="I38" s="1" t="s">
        <v>698</v>
      </c>
      <c r="J38" s="1">
        <f t="shared" si="4"/>
        <v>1</v>
      </c>
      <c r="L38" s="1" t="s">
        <v>723</v>
      </c>
      <c r="M38" s="7">
        <v>33</v>
      </c>
      <c r="N38" s="5" t="s">
        <v>234</v>
      </c>
      <c r="O38" s="3" t="s">
        <v>235</v>
      </c>
      <c r="P38" s="3" t="s">
        <v>14</v>
      </c>
      <c r="Q38" s="3">
        <v>30.088799999999999</v>
      </c>
      <c r="R38" s="43">
        <f>VLOOKUP('32'!O38,Malzemeler!C:D,2,0)</f>
        <v>2.3199999999999998</v>
      </c>
      <c r="S38" s="43">
        <f t="shared" si="1"/>
        <v>69.806016</v>
      </c>
    </row>
    <row r="39" spans="1:19" x14ac:dyDescent="0.35">
      <c r="A39" s="100"/>
      <c r="B39" s="1">
        <v>32</v>
      </c>
      <c r="C39" s="1" t="s">
        <v>698</v>
      </c>
      <c r="D39" s="1" t="s">
        <v>698</v>
      </c>
      <c r="E39" s="1" t="s">
        <v>698</v>
      </c>
      <c r="F39" s="1" t="s">
        <v>698</v>
      </c>
      <c r="G39" s="1" t="s">
        <v>698</v>
      </c>
      <c r="H39" s="1" t="s">
        <v>698</v>
      </c>
      <c r="I39" s="1" t="s">
        <v>698</v>
      </c>
      <c r="J39" s="1">
        <f t="shared" si="4"/>
        <v>1</v>
      </c>
      <c r="L39" s="1" t="s">
        <v>723</v>
      </c>
      <c r="M39" s="7">
        <v>34</v>
      </c>
      <c r="N39" s="5" t="s">
        <v>638</v>
      </c>
      <c r="O39" s="3" t="s">
        <v>656</v>
      </c>
      <c r="P39" s="3" t="s">
        <v>14</v>
      </c>
      <c r="Q39" s="3">
        <v>6.7320000000000002</v>
      </c>
      <c r="R39" s="43">
        <f>VLOOKUP('32'!O39,Malzemeler!C:D,2,0)</f>
        <v>0</v>
      </c>
      <c r="S39" s="43">
        <f t="shared" si="1"/>
        <v>0</v>
      </c>
    </row>
    <row r="40" spans="1:19" x14ac:dyDescent="0.35">
      <c r="A40" s="100"/>
      <c r="B40" s="1">
        <v>32</v>
      </c>
      <c r="C40" s="1" t="s">
        <v>698</v>
      </c>
      <c r="D40" s="1" t="s">
        <v>698</v>
      </c>
      <c r="E40" s="1" t="s">
        <v>698</v>
      </c>
      <c r="F40" s="1" t="s">
        <v>698</v>
      </c>
      <c r="G40" s="1" t="s">
        <v>698</v>
      </c>
      <c r="H40" s="1" t="s">
        <v>698</v>
      </c>
      <c r="I40" s="1" t="s">
        <v>698</v>
      </c>
      <c r="J40" s="1">
        <f t="shared" si="4"/>
        <v>1</v>
      </c>
      <c r="L40" s="1" t="s">
        <v>723</v>
      </c>
      <c r="M40" s="7">
        <v>35</v>
      </c>
      <c r="N40" s="5" t="s">
        <v>90</v>
      </c>
      <c r="O40" s="3" t="s">
        <v>91</v>
      </c>
      <c r="P40" s="3" t="s">
        <v>14</v>
      </c>
      <c r="Q40" s="3">
        <v>32.870199999999997</v>
      </c>
      <c r="R40" s="43">
        <f>VLOOKUP('32'!O40,Malzemeler!C:D,2,0)</f>
        <v>1.27</v>
      </c>
      <c r="S40" s="43">
        <f t="shared" si="1"/>
        <v>41.745153999999999</v>
      </c>
    </row>
    <row r="41" spans="1:19" x14ac:dyDescent="0.35">
      <c r="A41" s="100"/>
      <c r="B41" s="1">
        <v>32</v>
      </c>
      <c r="C41" s="1" t="s">
        <v>698</v>
      </c>
      <c r="D41" s="1" t="s">
        <v>698</v>
      </c>
      <c r="E41" s="1" t="s">
        <v>698</v>
      </c>
      <c r="F41" s="1" t="s">
        <v>698</v>
      </c>
      <c r="G41" s="1" t="s">
        <v>698</v>
      </c>
      <c r="H41" s="1" t="s">
        <v>698</v>
      </c>
      <c r="I41" s="1" t="s">
        <v>698</v>
      </c>
      <c r="J41" s="1">
        <f t="shared" si="4"/>
        <v>1</v>
      </c>
      <c r="L41" s="1" t="s">
        <v>723</v>
      </c>
      <c r="M41" s="7">
        <v>36</v>
      </c>
      <c r="N41" s="5" t="s">
        <v>92</v>
      </c>
      <c r="O41" s="3" t="s">
        <v>93</v>
      </c>
      <c r="P41" s="3" t="s">
        <v>14</v>
      </c>
      <c r="Q41" s="3">
        <v>12.381600000000001</v>
      </c>
      <c r="R41" s="43">
        <f>VLOOKUP('32'!O41,Malzemeler!C:D,2,0)</f>
        <v>1.74</v>
      </c>
      <c r="S41" s="43">
        <f t="shared" si="1"/>
        <v>21.543984000000002</v>
      </c>
    </row>
    <row r="42" spans="1:19" x14ac:dyDescent="0.35">
      <c r="A42" s="100"/>
      <c r="B42" s="1">
        <v>32</v>
      </c>
      <c r="C42" s="1" t="s">
        <v>698</v>
      </c>
      <c r="D42" s="1" t="s">
        <v>698</v>
      </c>
      <c r="E42" s="1" t="s">
        <v>698</v>
      </c>
      <c r="F42" s="1" t="s">
        <v>698</v>
      </c>
      <c r="G42" s="1" t="s">
        <v>698</v>
      </c>
      <c r="H42" s="1" t="s">
        <v>698</v>
      </c>
      <c r="I42" s="1" t="s">
        <v>698</v>
      </c>
      <c r="J42" s="1">
        <f t="shared" si="4"/>
        <v>1</v>
      </c>
      <c r="L42" s="1" t="s">
        <v>723</v>
      </c>
      <c r="M42" s="7">
        <v>37</v>
      </c>
      <c r="N42" s="5" t="s">
        <v>238</v>
      </c>
      <c r="O42" s="3" t="s">
        <v>239</v>
      </c>
      <c r="P42" s="3" t="s">
        <v>14</v>
      </c>
      <c r="Q42" s="3">
        <v>48.830100000000002</v>
      </c>
      <c r="R42" s="43">
        <f>VLOOKUP('32'!O42,Malzemeler!C:D,2,0)</f>
        <v>1.95</v>
      </c>
      <c r="S42" s="43">
        <f t="shared" si="1"/>
        <v>95.218694999999997</v>
      </c>
    </row>
    <row r="43" spans="1:19" x14ac:dyDescent="0.35">
      <c r="A43" s="100"/>
      <c r="B43" s="1">
        <v>32</v>
      </c>
      <c r="C43" s="1" t="s">
        <v>698</v>
      </c>
      <c r="D43" s="1" t="s">
        <v>698</v>
      </c>
      <c r="E43" s="1" t="s">
        <v>698</v>
      </c>
      <c r="F43" s="1" t="s">
        <v>698</v>
      </c>
      <c r="G43" s="1" t="s">
        <v>698</v>
      </c>
      <c r="H43" s="1" t="s">
        <v>698</v>
      </c>
      <c r="I43" s="1" t="s">
        <v>698</v>
      </c>
      <c r="J43" s="1">
        <f t="shared" si="4"/>
        <v>1</v>
      </c>
      <c r="L43" s="1" t="s">
        <v>723</v>
      </c>
      <c r="M43" s="7">
        <v>38</v>
      </c>
      <c r="N43" s="5" t="s">
        <v>240</v>
      </c>
      <c r="O43" s="3" t="s">
        <v>241</v>
      </c>
      <c r="P43" s="3" t="s">
        <v>14</v>
      </c>
      <c r="Q43" s="3">
        <v>36.19</v>
      </c>
      <c r="R43" s="43">
        <f>VLOOKUP('32'!O43,Malzemeler!C:D,2,0)</f>
        <v>4.4000000000000004</v>
      </c>
      <c r="S43" s="43">
        <f t="shared" si="1"/>
        <v>159.23599999999999</v>
      </c>
    </row>
    <row r="44" spans="1:19" x14ac:dyDescent="0.35">
      <c r="A44" s="100"/>
      <c r="B44" s="1">
        <v>32</v>
      </c>
      <c r="C44" s="1" t="s">
        <v>698</v>
      </c>
      <c r="D44" s="1" t="s">
        <v>698</v>
      </c>
      <c r="E44" s="1" t="s">
        <v>698</v>
      </c>
      <c r="F44" s="1" t="s">
        <v>698</v>
      </c>
      <c r="G44" s="1" t="s">
        <v>698</v>
      </c>
      <c r="H44" s="1" t="s">
        <v>698</v>
      </c>
      <c r="I44" s="1" t="s">
        <v>698</v>
      </c>
      <c r="J44" s="1">
        <f t="shared" si="4"/>
        <v>1</v>
      </c>
      <c r="L44" s="1" t="s">
        <v>723</v>
      </c>
      <c r="M44" s="7">
        <v>39</v>
      </c>
      <c r="N44" s="5" t="s">
        <v>370</v>
      </c>
      <c r="O44" s="3" t="s">
        <v>371</v>
      </c>
      <c r="P44" s="3" t="s">
        <v>14</v>
      </c>
      <c r="Q44" s="3">
        <v>2.1153</v>
      </c>
      <c r="R44" s="43">
        <f>VLOOKUP('32'!O44,Malzemeler!C:D,2,0)</f>
        <v>4.4000000000000004</v>
      </c>
      <c r="S44" s="43">
        <f t="shared" si="1"/>
        <v>9.3073200000000007</v>
      </c>
    </row>
    <row r="45" spans="1:19" x14ac:dyDescent="0.35">
      <c r="A45" s="100"/>
      <c r="B45" s="1">
        <v>32</v>
      </c>
      <c r="C45" s="1" t="s">
        <v>698</v>
      </c>
      <c r="D45" s="1" t="s">
        <v>698</v>
      </c>
      <c r="E45" s="1" t="s">
        <v>698</v>
      </c>
      <c r="F45" s="1" t="s">
        <v>698</v>
      </c>
      <c r="G45" s="1" t="s">
        <v>698</v>
      </c>
      <c r="H45" s="1" t="s">
        <v>698</v>
      </c>
      <c r="I45" s="1" t="s">
        <v>698</v>
      </c>
      <c r="J45" s="1">
        <f t="shared" si="4"/>
        <v>1</v>
      </c>
      <c r="L45" s="1" t="s">
        <v>723</v>
      </c>
      <c r="M45" s="7">
        <v>40</v>
      </c>
      <c r="N45" s="5" t="s">
        <v>242</v>
      </c>
      <c r="O45" s="3" t="s">
        <v>243</v>
      </c>
      <c r="P45" s="3" t="s">
        <v>14</v>
      </c>
      <c r="Q45" s="3">
        <v>11.1562</v>
      </c>
      <c r="R45" s="43">
        <f>VLOOKUP('32'!O45,Malzemeler!C:D,2,0)</f>
        <v>4.4000000000000004</v>
      </c>
      <c r="S45" s="43">
        <f t="shared" si="1"/>
        <v>49.087280000000007</v>
      </c>
    </row>
    <row r="46" spans="1:19" x14ac:dyDescent="0.35">
      <c r="A46" s="100"/>
      <c r="B46" s="1">
        <v>32</v>
      </c>
      <c r="C46" s="1" t="s">
        <v>698</v>
      </c>
      <c r="D46" s="1" t="s">
        <v>698</v>
      </c>
      <c r="E46" s="1" t="s">
        <v>698</v>
      </c>
      <c r="F46" s="1" t="s">
        <v>698</v>
      </c>
      <c r="G46" s="1" t="s">
        <v>698</v>
      </c>
      <c r="H46" s="1" t="s">
        <v>698</v>
      </c>
      <c r="I46" s="1" t="s">
        <v>698</v>
      </c>
      <c r="J46" s="1">
        <f t="shared" si="4"/>
        <v>1</v>
      </c>
      <c r="L46" s="1" t="s">
        <v>723</v>
      </c>
      <c r="M46" s="7">
        <v>41</v>
      </c>
      <c r="N46" s="5" t="s">
        <v>244</v>
      </c>
      <c r="O46" s="3" t="s">
        <v>245</v>
      </c>
      <c r="P46" s="3" t="s">
        <v>14</v>
      </c>
      <c r="Q46" s="3">
        <v>8.5931999999999995</v>
      </c>
      <c r="R46" s="43">
        <f>VLOOKUP('32'!O46,Malzemeler!C:D,2,0)</f>
        <v>4.4000000000000004</v>
      </c>
      <c r="S46" s="43">
        <f t="shared" si="1"/>
        <v>37.810079999999999</v>
      </c>
    </row>
    <row r="47" spans="1:19" x14ac:dyDescent="0.35">
      <c r="A47" s="100"/>
      <c r="B47" s="1">
        <v>32</v>
      </c>
      <c r="C47" s="1" t="s">
        <v>698</v>
      </c>
      <c r="D47" s="1" t="s">
        <v>698</v>
      </c>
      <c r="E47" s="1" t="s">
        <v>698</v>
      </c>
      <c r="F47" s="1" t="s">
        <v>698</v>
      </c>
      <c r="G47" s="1" t="s">
        <v>698</v>
      </c>
      <c r="H47" s="1" t="s">
        <v>698</v>
      </c>
      <c r="I47" s="1" t="s">
        <v>698</v>
      </c>
      <c r="J47" s="1">
        <f t="shared" si="4"/>
        <v>1</v>
      </c>
      <c r="L47" s="1" t="s">
        <v>723</v>
      </c>
      <c r="M47" s="7">
        <v>42</v>
      </c>
      <c r="N47" s="5" t="s">
        <v>246</v>
      </c>
      <c r="O47" s="3" t="s">
        <v>247</v>
      </c>
      <c r="P47" s="3" t="s">
        <v>14</v>
      </c>
      <c r="Q47" s="3">
        <v>8.1972000000000005</v>
      </c>
      <c r="R47" s="43">
        <f>VLOOKUP('32'!O47,Malzemeler!C:D,2,0)</f>
        <v>4.4000000000000004</v>
      </c>
      <c r="S47" s="43">
        <f t="shared" si="1"/>
        <v>36.067680000000003</v>
      </c>
    </row>
    <row r="48" spans="1:19" x14ac:dyDescent="0.35">
      <c r="A48" s="100"/>
      <c r="B48" s="1">
        <v>32</v>
      </c>
      <c r="C48" s="1" t="s">
        <v>698</v>
      </c>
      <c r="D48" s="1" t="s">
        <v>698</v>
      </c>
      <c r="E48" s="1" t="s">
        <v>698</v>
      </c>
      <c r="F48" s="1" t="s">
        <v>698</v>
      </c>
      <c r="G48" s="1" t="s">
        <v>698</v>
      </c>
      <c r="H48" s="1" t="s">
        <v>698</v>
      </c>
      <c r="I48" s="1" t="s">
        <v>698</v>
      </c>
      <c r="J48" s="1">
        <f t="shared" si="4"/>
        <v>1</v>
      </c>
      <c r="L48" s="1" t="s">
        <v>723</v>
      </c>
      <c r="M48" s="7">
        <v>43</v>
      </c>
      <c r="N48" s="5" t="s">
        <v>248</v>
      </c>
      <c r="O48" s="3" t="s">
        <v>249</v>
      </c>
      <c r="P48" s="3" t="s">
        <v>14</v>
      </c>
      <c r="Q48" s="3">
        <v>33.435600000000001</v>
      </c>
      <c r="R48" s="43">
        <f>VLOOKUP('32'!O48,Malzemeler!C:D,2,0)</f>
        <v>2.36</v>
      </c>
      <c r="S48" s="43">
        <f t="shared" si="1"/>
        <v>78.908016000000003</v>
      </c>
    </row>
    <row r="49" spans="1:19" x14ac:dyDescent="0.35">
      <c r="A49" s="100"/>
      <c r="B49" s="1">
        <v>32</v>
      </c>
      <c r="C49" s="1" t="s">
        <v>698</v>
      </c>
      <c r="D49" s="1" t="s">
        <v>698</v>
      </c>
      <c r="E49" s="1" t="s">
        <v>698</v>
      </c>
      <c r="F49" s="1" t="s">
        <v>698</v>
      </c>
      <c r="G49" s="1" t="s">
        <v>698</v>
      </c>
      <c r="H49" s="1" t="s">
        <v>698</v>
      </c>
      <c r="I49" s="1" t="s">
        <v>698</v>
      </c>
      <c r="J49" s="1">
        <f t="shared" si="4"/>
        <v>1</v>
      </c>
      <c r="L49" s="1" t="s">
        <v>723</v>
      </c>
      <c r="M49" s="7">
        <v>44</v>
      </c>
      <c r="N49" s="5" t="s">
        <v>254</v>
      </c>
      <c r="O49" s="3" t="s">
        <v>255</v>
      </c>
      <c r="P49" s="3" t="s">
        <v>14</v>
      </c>
      <c r="Q49" s="3">
        <v>4.3032000000000004</v>
      </c>
      <c r="R49" s="43">
        <f>VLOOKUP('32'!O49,Malzemeler!C:D,2,0)</f>
        <v>0.76</v>
      </c>
      <c r="S49" s="43">
        <f t="shared" si="1"/>
        <v>3.2704320000000004</v>
      </c>
    </row>
    <row r="50" spans="1:19" x14ac:dyDescent="0.35">
      <c r="A50" s="100"/>
      <c r="B50" s="1">
        <v>32</v>
      </c>
      <c r="C50" s="1" t="s">
        <v>698</v>
      </c>
      <c r="D50" s="1" t="s">
        <v>698</v>
      </c>
      <c r="E50" s="1" t="s">
        <v>698</v>
      </c>
      <c r="F50" s="1" t="s">
        <v>698</v>
      </c>
      <c r="G50" s="1" t="s">
        <v>698</v>
      </c>
      <c r="H50" s="1" t="s">
        <v>698</v>
      </c>
      <c r="I50" s="1" t="s">
        <v>698</v>
      </c>
      <c r="J50" s="1">
        <f t="shared" si="4"/>
        <v>1</v>
      </c>
      <c r="L50" s="1" t="s">
        <v>723</v>
      </c>
      <c r="M50" s="7">
        <v>45</v>
      </c>
      <c r="N50" s="5" t="s">
        <v>256</v>
      </c>
      <c r="O50" s="3" t="s">
        <v>257</v>
      </c>
      <c r="P50" s="3" t="s">
        <v>14</v>
      </c>
      <c r="Q50" s="3">
        <v>18.587800000000001</v>
      </c>
      <c r="R50" s="43">
        <f>VLOOKUP('32'!O50,Malzemeler!C:D,2,0)</f>
        <v>0.7</v>
      </c>
      <c r="S50" s="43">
        <f t="shared" si="1"/>
        <v>13.01146</v>
      </c>
    </row>
    <row r="51" spans="1:19" x14ac:dyDescent="0.35">
      <c r="A51" s="100"/>
      <c r="B51" s="1">
        <v>32</v>
      </c>
      <c r="C51" s="1" t="s">
        <v>698</v>
      </c>
      <c r="D51" s="1" t="s">
        <v>698</v>
      </c>
      <c r="E51" s="1" t="s">
        <v>698</v>
      </c>
      <c r="F51" s="1" t="s">
        <v>698</v>
      </c>
      <c r="G51" s="1" t="s">
        <v>698</v>
      </c>
      <c r="H51" s="1" t="s">
        <v>698</v>
      </c>
      <c r="I51" s="1" t="s">
        <v>698</v>
      </c>
      <c r="J51" s="1">
        <f t="shared" si="4"/>
        <v>1</v>
      </c>
      <c r="L51" s="1" t="s">
        <v>723</v>
      </c>
      <c r="M51" s="7">
        <v>46</v>
      </c>
      <c r="N51" s="5" t="s">
        <v>110</v>
      </c>
      <c r="O51" s="3" t="s">
        <v>111</v>
      </c>
      <c r="P51" s="3" t="s">
        <v>14</v>
      </c>
      <c r="Q51" s="3">
        <v>196.55680000000001</v>
      </c>
      <c r="R51" s="43">
        <f>VLOOKUP('32'!O51,Malzemeler!C:D,2,0)</f>
        <v>1.1200000000000001</v>
      </c>
      <c r="S51" s="43">
        <f t="shared" si="1"/>
        <v>220.14361600000004</v>
      </c>
    </row>
    <row r="52" spans="1:19" x14ac:dyDescent="0.35">
      <c r="A52" s="100"/>
      <c r="B52" s="1">
        <v>32</v>
      </c>
      <c r="C52" s="1" t="s">
        <v>698</v>
      </c>
      <c r="D52" s="1" t="s">
        <v>698</v>
      </c>
      <c r="E52" s="1" t="s">
        <v>698</v>
      </c>
      <c r="F52" s="1" t="s">
        <v>698</v>
      </c>
      <c r="G52" s="1" t="s">
        <v>698</v>
      </c>
      <c r="H52" s="1" t="s">
        <v>698</v>
      </c>
      <c r="I52" s="1" t="s">
        <v>698</v>
      </c>
      <c r="J52" s="1">
        <f t="shared" si="4"/>
        <v>1</v>
      </c>
      <c r="L52" s="1" t="s">
        <v>723</v>
      </c>
      <c r="M52" s="7">
        <v>47</v>
      </c>
      <c r="N52" s="5" t="s">
        <v>258</v>
      </c>
      <c r="O52" s="3" t="s">
        <v>157</v>
      </c>
      <c r="P52" s="3" t="s">
        <v>14</v>
      </c>
      <c r="Q52" s="3">
        <v>44.375999999999998</v>
      </c>
      <c r="R52" s="43">
        <f>VLOOKUP('32'!O52,Malzemeler!C:D,2,0)</f>
        <v>3</v>
      </c>
      <c r="S52" s="43">
        <f t="shared" si="1"/>
        <v>133.12799999999999</v>
      </c>
    </row>
    <row r="53" spans="1:19" x14ac:dyDescent="0.35">
      <c r="A53" s="100"/>
      <c r="B53" s="1">
        <v>32</v>
      </c>
      <c r="C53" s="1" t="s">
        <v>698</v>
      </c>
      <c r="D53" s="1" t="s">
        <v>698</v>
      </c>
      <c r="E53" s="1" t="s">
        <v>698</v>
      </c>
      <c r="F53" s="1" t="s">
        <v>698</v>
      </c>
      <c r="G53" s="1" t="s">
        <v>698</v>
      </c>
      <c r="H53" s="1" t="s">
        <v>698</v>
      </c>
      <c r="I53" s="1" t="s">
        <v>698</v>
      </c>
      <c r="J53" s="1">
        <f t="shared" si="4"/>
        <v>1</v>
      </c>
      <c r="L53" s="1" t="s">
        <v>723</v>
      </c>
      <c r="M53" s="7">
        <v>48</v>
      </c>
      <c r="N53" s="5" t="s">
        <v>259</v>
      </c>
      <c r="O53" s="3" t="s">
        <v>260</v>
      </c>
      <c r="P53" s="3" t="s">
        <v>14</v>
      </c>
      <c r="Q53" s="3">
        <v>8.0809999999999995</v>
      </c>
      <c r="R53" s="43">
        <f>VLOOKUP('32'!O53,Malzemeler!C:D,2,0)</f>
        <v>3</v>
      </c>
      <c r="S53" s="43">
        <f t="shared" si="1"/>
        <v>24.242999999999999</v>
      </c>
    </row>
    <row r="54" spans="1:19" x14ac:dyDescent="0.35">
      <c r="A54" s="100"/>
      <c r="B54" s="1">
        <v>32</v>
      </c>
      <c r="C54" s="1" t="s">
        <v>698</v>
      </c>
      <c r="D54" s="1" t="s">
        <v>698</v>
      </c>
      <c r="E54" s="1" t="s">
        <v>698</v>
      </c>
      <c r="F54" s="1" t="s">
        <v>698</v>
      </c>
      <c r="G54" s="1" t="s">
        <v>698</v>
      </c>
      <c r="H54" s="1" t="s">
        <v>698</v>
      </c>
      <c r="I54" s="1" t="s">
        <v>698</v>
      </c>
      <c r="J54" s="1">
        <f t="shared" si="4"/>
        <v>1</v>
      </c>
      <c r="L54" s="1" t="s">
        <v>723</v>
      </c>
      <c r="M54" s="7">
        <v>49</v>
      </c>
      <c r="N54" s="5" t="s">
        <v>652</v>
      </c>
      <c r="O54" s="3" t="s">
        <v>666</v>
      </c>
      <c r="P54" s="3" t="s">
        <v>14</v>
      </c>
      <c r="Q54" s="3">
        <v>2</v>
      </c>
      <c r="R54" s="43">
        <f>VLOOKUP('32'!O54,Malzemeler!C:D,2,0)</f>
        <v>0</v>
      </c>
      <c r="S54" s="43">
        <f t="shared" si="1"/>
        <v>0</v>
      </c>
    </row>
    <row r="55" spans="1:19" x14ac:dyDescent="0.35">
      <c r="A55" s="100"/>
      <c r="B55" s="1">
        <v>32</v>
      </c>
      <c r="C55" s="1" t="s">
        <v>698</v>
      </c>
      <c r="D55" s="1" t="s">
        <v>698</v>
      </c>
      <c r="E55" s="1" t="s">
        <v>698</v>
      </c>
      <c r="F55" s="1" t="s">
        <v>698</v>
      </c>
      <c r="G55" s="1" t="s">
        <v>698</v>
      </c>
      <c r="H55" s="1" t="s">
        <v>698</v>
      </c>
      <c r="I55" s="1" t="s">
        <v>698</v>
      </c>
      <c r="J55" s="1">
        <f t="shared" si="4"/>
        <v>1</v>
      </c>
      <c r="L55" s="1" t="s">
        <v>723</v>
      </c>
      <c r="M55" s="7">
        <v>50</v>
      </c>
      <c r="N55" s="5" t="s">
        <v>653</v>
      </c>
      <c r="O55" s="3" t="s">
        <v>667</v>
      </c>
      <c r="P55" s="3" t="s">
        <v>14</v>
      </c>
      <c r="Q55" s="3">
        <v>2</v>
      </c>
      <c r="R55" s="43">
        <f>VLOOKUP('32'!O55,Malzemeler!C:D,2,0)</f>
        <v>0</v>
      </c>
      <c r="S55" s="43">
        <f t="shared" si="1"/>
        <v>0</v>
      </c>
    </row>
    <row r="56" spans="1:19" x14ac:dyDescent="0.35">
      <c r="A56" s="100"/>
      <c r="B56" s="1">
        <v>32</v>
      </c>
      <c r="C56" s="1" t="s">
        <v>698</v>
      </c>
      <c r="D56" s="1" t="s">
        <v>698</v>
      </c>
      <c r="E56" s="1" t="s">
        <v>698</v>
      </c>
      <c r="F56" s="1" t="s">
        <v>698</v>
      </c>
      <c r="G56" s="1" t="s">
        <v>698</v>
      </c>
      <c r="H56" s="1" t="s">
        <v>698</v>
      </c>
      <c r="I56" s="1" t="s">
        <v>698</v>
      </c>
      <c r="J56" s="1">
        <f t="shared" si="4"/>
        <v>1</v>
      </c>
      <c r="L56" s="1" t="s">
        <v>723</v>
      </c>
      <c r="M56" s="7">
        <v>51</v>
      </c>
      <c r="N56" s="5" t="s">
        <v>639</v>
      </c>
      <c r="O56" s="3" t="s">
        <v>657</v>
      </c>
      <c r="P56" s="3" t="s">
        <v>14</v>
      </c>
      <c r="Q56" s="3">
        <v>48</v>
      </c>
      <c r="R56" s="43">
        <f>VLOOKUP('32'!O56,Malzemeler!C:D,2,0)</f>
        <v>0</v>
      </c>
      <c r="S56" s="43">
        <f t="shared" si="1"/>
        <v>0</v>
      </c>
    </row>
    <row r="57" spans="1:19" x14ac:dyDescent="0.35">
      <c r="A57" s="100"/>
      <c r="B57" s="1">
        <v>32</v>
      </c>
      <c r="C57" s="1" t="s">
        <v>698</v>
      </c>
      <c r="D57" s="1" t="s">
        <v>698</v>
      </c>
      <c r="E57" s="1" t="s">
        <v>698</v>
      </c>
      <c r="F57" s="1" t="s">
        <v>698</v>
      </c>
      <c r="G57" s="1" t="s">
        <v>698</v>
      </c>
      <c r="H57" s="1" t="s">
        <v>698</v>
      </c>
      <c r="I57" s="1" t="s">
        <v>698</v>
      </c>
      <c r="J57" s="1">
        <f t="shared" si="4"/>
        <v>1</v>
      </c>
      <c r="L57" s="1" t="s">
        <v>723</v>
      </c>
      <c r="M57" s="7">
        <v>52</v>
      </c>
      <c r="N57" s="5" t="s">
        <v>640</v>
      </c>
      <c r="O57" s="3" t="s">
        <v>658</v>
      </c>
      <c r="P57" s="3" t="s">
        <v>14</v>
      </c>
      <c r="Q57" s="3">
        <v>12</v>
      </c>
      <c r="R57" s="43">
        <f>VLOOKUP('32'!O57,Malzemeler!C:D,2,0)</f>
        <v>0</v>
      </c>
      <c r="S57" s="43">
        <f t="shared" si="1"/>
        <v>0</v>
      </c>
    </row>
    <row r="58" spans="1:19" x14ac:dyDescent="0.35">
      <c r="A58" s="100"/>
      <c r="B58" s="1">
        <v>32</v>
      </c>
      <c r="C58" s="1" t="s">
        <v>698</v>
      </c>
      <c r="D58" s="1" t="s">
        <v>698</v>
      </c>
      <c r="E58" s="1" t="s">
        <v>698</v>
      </c>
      <c r="F58" s="1" t="s">
        <v>698</v>
      </c>
      <c r="G58" s="1" t="s">
        <v>698</v>
      </c>
      <c r="H58" s="1" t="s">
        <v>698</v>
      </c>
      <c r="I58" s="1" t="s">
        <v>698</v>
      </c>
      <c r="J58" s="1">
        <f t="shared" si="4"/>
        <v>1</v>
      </c>
      <c r="L58" s="1" t="s">
        <v>723</v>
      </c>
      <c r="M58" s="7">
        <v>53</v>
      </c>
      <c r="N58" s="5" t="s">
        <v>641</v>
      </c>
      <c r="O58" s="3" t="s">
        <v>659</v>
      </c>
      <c r="P58" s="3" t="s">
        <v>14</v>
      </c>
      <c r="Q58" s="3">
        <v>12</v>
      </c>
      <c r="R58" s="43">
        <f>VLOOKUP('32'!O58,Malzemeler!C:D,2,0)</f>
        <v>0</v>
      </c>
      <c r="S58" s="43">
        <f t="shared" si="1"/>
        <v>0</v>
      </c>
    </row>
    <row r="59" spans="1:19" x14ac:dyDescent="0.35">
      <c r="A59" s="100"/>
      <c r="B59" s="1">
        <v>32</v>
      </c>
      <c r="C59" s="1" t="s">
        <v>698</v>
      </c>
      <c r="D59" s="1" t="s">
        <v>698</v>
      </c>
      <c r="E59" s="1" t="s">
        <v>698</v>
      </c>
      <c r="F59" s="1" t="s">
        <v>698</v>
      </c>
      <c r="G59" s="1" t="s">
        <v>698</v>
      </c>
      <c r="H59" s="1" t="s">
        <v>698</v>
      </c>
      <c r="I59" s="1" t="s">
        <v>698</v>
      </c>
      <c r="J59" s="1">
        <f t="shared" ref="J59:J91" si="5">SUBTOTAL(103,B59)</f>
        <v>1</v>
      </c>
      <c r="L59" s="1" t="s">
        <v>723</v>
      </c>
      <c r="M59" s="7">
        <v>54</v>
      </c>
      <c r="N59" s="5" t="s">
        <v>264</v>
      </c>
      <c r="O59" s="3" t="s">
        <v>265</v>
      </c>
      <c r="P59" s="3" t="s">
        <v>14</v>
      </c>
      <c r="Q59" s="3">
        <v>2</v>
      </c>
      <c r="R59" s="43">
        <f>VLOOKUP('32'!O59,Malzemeler!C:D,2,0)</f>
        <v>8.2200000000000006</v>
      </c>
      <c r="S59" s="43">
        <f t="shared" si="1"/>
        <v>16.440000000000001</v>
      </c>
    </row>
    <row r="60" spans="1:19" x14ac:dyDescent="0.35">
      <c r="A60" s="100"/>
      <c r="B60" s="1">
        <v>32</v>
      </c>
      <c r="C60" s="1" t="s">
        <v>698</v>
      </c>
      <c r="D60" s="1" t="s">
        <v>698</v>
      </c>
      <c r="E60" s="1" t="s">
        <v>698</v>
      </c>
      <c r="F60" s="1" t="s">
        <v>698</v>
      </c>
      <c r="G60" s="1" t="s">
        <v>698</v>
      </c>
      <c r="H60" s="1" t="s">
        <v>698</v>
      </c>
      <c r="I60" s="1" t="s">
        <v>698</v>
      </c>
      <c r="J60" s="1">
        <f t="shared" si="5"/>
        <v>1</v>
      </c>
      <c r="L60" s="1" t="s">
        <v>723</v>
      </c>
      <c r="M60" s="7">
        <v>55</v>
      </c>
      <c r="N60" s="5" t="s">
        <v>266</v>
      </c>
      <c r="O60" s="3" t="s">
        <v>267</v>
      </c>
      <c r="P60" s="3" t="s">
        <v>14</v>
      </c>
      <c r="Q60" s="3">
        <v>8</v>
      </c>
      <c r="R60" s="43">
        <f>VLOOKUP('32'!O60,Malzemeler!C:D,2,0)</f>
        <v>3.4609999999999999</v>
      </c>
      <c r="S60" s="43">
        <f t="shared" si="1"/>
        <v>27.687999999999999</v>
      </c>
    </row>
    <row r="61" spans="1:19" x14ac:dyDescent="0.35">
      <c r="A61" s="100"/>
      <c r="B61" s="1">
        <v>32</v>
      </c>
      <c r="C61" s="1" t="s">
        <v>698</v>
      </c>
      <c r="D61" s="1" t="s">
        <v>698</v>
      </c>
      <c r="E61" s="1" t="s">
        <v>698</v>
      </c>
      <c r="F61" s="1" t="s">
        <v>698</v>
      </c>
      <c r="G61" s="1" t="s">
        <v>698</v>
      </c>
      <c r="H61" s="1" t="s">
        <v>698</v>
      </c>
      <c r="I61" s="1" t="s">
        <v>698</v>
      </c>
      <c r="J61" s="1">
        <f t="shared" si="5"/>
        <v>1</v>
      </c>
      <c r="L61" s="1" t="s">
        <v>723</v>
      </c>
      <c r="M61" s="7">
        <v>56</v>
      </c>
      <c r="N61" s="5" t="s">
        <v>268</v>
      </c>
      <c r="O61" s="3" t="s">
        <v>269</v>
      </c>
      <c r="P61" s="3" t="s">
        <v>14</v>
      </c>
      <c r="Q61" s="3">
        <v>8</v>
      </c>
      <c r="R61" s="43">
        <f>VLOOKUP('32'!O61,Malzemeler!C:D,2,0)</f>
        <v>3.2450000000000001</v>
      </c>
      <c r="S61" s="43">
        <f t="shared" si="1"/>
        <v>25.96</v>
      </c>
    </row>
    <row r="62" spans="1:19" x14ac:dyDescent="0.35">
      <c r="A62" s="100"/>
      <c r="B62" s="1">
        <v>32</v>
      </c>
      <c r="C62" s="1" t="s">
        <v>698</v>
      </c>
      <c r="D62" s="1" t="s">
        <v>698</v>
      </c>
      <c r="E62" s="1" t="s">
        <v>698</v>
      </c>
      <c r="F62" s="1" t="s">
        <v>698</v>
      </c>
      <c r="G62" s="1" t="s">
        <v>698</v>
      </c>
      <c r="H62" s="1" t="s">
        <v>698</v>
      </c>
      <c r="I62" s="1" t="s">
        <v>698</v>
      </c>
      <c r="J62" s="1">
        <f t="shared" si="5"/>
        <v>1</v>
      </c>
      <c r="L62" s="1" t="s">
        <v>723</v>
      </c>
      <c r="M62" s="7">
        <v>57</v>
      </c>
      <c r="N62" s="5" t="s">
        <v>642</v>
      </c>
      <c r="O62" s="3" t="s">
        <v>660</v>
      </c>
      <c r="P62" s="3" t="s">
        <v>14</v>
      </c>
      <c r="Q62" s="3">
        <v>30</v>
      </c>
      <c r="R62" s="43">
        <f>VLOOKUP('32'!O62,Malzemeler!C:D,2,0)</f>
        <v>0</v>
      </c>
      <c r="S62" s="43">
        <f t="shared" si="1"/>
        <v>0</v>
      </c>
    </row>
    <row r="63" spans="1:19" x14ac:dyDescent="0.35">
      <c r="A63" s="100"/>
      <c r="B63" s="1">
        <v>32</v>
      </c>
      <c r="C63" s="1" t="s">
        <v>698</v>
      </c>
      <c r="D63" s="1" t="s">
        <v>698</v>
      </c>
      <c r="E63" s="1" t="s">
        <v>698</v>
      </c>
      <c r="F63" s="1" t="s">
        <v>698</v>
      </c>
      <c r="G63" s="1" t="s">
        <v>698</v>
      </c>
      <c r="H63" s="1" t="s">
        <v>698</v>
      </c>
      <c r="I63" s="1" t="s">
        <v>698</v>
      </c>
      <c r="J63" s="1">
        <f t="shared" si="5"/>
        <v>1</v>
      </c>
      <c r="L63" s="1" t="s">
        <v>723</v>
      </c>
      <c r="M63" s="7">
        <v>58</v>
      </c>
      <c r="N63" s="5" t="s">
        <v>270</v>
      </c>
      <c r="O63" s="3" t="s">
        <v>271</v>
      </c>
      <c r="P63" s="3" t="s">
        <v>14</v>
      </c>
      <c r="Q63" s="3">
        <v>1</v>
      </c>
      <c r="R63" s="43">
        <f>VLOOKUP('32'!O63,Malzemeler!C:D,2,0)</f>
        <v>4.93</v>
      </c>
      <c r="S63" s="43">
        <f t="shared" si="1"/>
        <v>4.93</v>
      </c>
    </row>
    <row r="64" spans="1:19" x14ac:dyDescent="0.35">
      <c r="A64" s="100"/>
      <c r="B64" s="1">
        <v>32</v>
      </c>
      <c r="C64" s="1" t="s">
        <v>698</v>
      </c>
      <c r="D64" s="1" t="s">
        <v>698</v>
      </c>
      <c r="E64" s="1" t="s">
        <v>698</v>
      </c>
      <c r="F64" s="1" t="s">
        <v>698</v>
      </c>
      <c r="G64" s="1" t="s">
        <v>698</v>
      </c>
      <c r="H64" s="1" t="s">
        <v>698</v>
      </c>
      <c r="I64" s="1" t="s">
        <v>698</v>
      </c>
      <c r="J64" s="1">
        <f t="shared" si="5"/>
        <v>1</v>
      </c>
      <c r="L64" s="1" t="s">
        <v>723</v>
      </c>
      <c r="M64" s="7">
        <v>59</v>
      </c>
      <c r="N64" s="5" t="s">
        <v>272</v>
      </c>
      <c r="O64" s="3" t="s">
        <v>273</v>
      </c>
      <c r="P64" s="3" t="s">
        <v>14</v>
      </c>
      <c r="Q64" s="3">
        <v>12</v>
      </c>
      <c r="R64" s="43">
        <f>VLOOKUP('32'!O64,Malzemeler!C:D,2,0)</f>
        <v>1</v>
      </c>
      <c r="S64" s="43">
        <f t="shared" si="1"/>
        <v>12</v>
      </c>
    </row>
    <row r="65" spans="1:19" x14ac:dyDescent="0.35">
      <c r="A65" s="100"/>
      <c r="B65" s="1">
        <v>32</v>
      </c>
      <c r="C65" s="1" t="s">
        <v>698</v>
      </c>
      <c r="D65" s="1" t="s">
        <v>698</v>
      </c>
      <c r="E65" s="1" t="s">
        <v>698</v>
      </c>
      <c r="F65" s="1" t="s">
        <v>698</v>
      </c>
      <c r="G65" s="1" t="s">
        <v>698</v>
      </c>
      <c r="H65" s="1" t="s">
        <v>698</v>
      </c>
      <c r="I65" s="1" t="s">
        <v>698</v>
      </c>
      <c r="J65" s="1">
        <f t="shared" si="5"/>
        <v>1</v>
      </c>
      <c r="L65" s="1" t="s">
        <v>723</v>
      </c>
      <c r="M65" s="7">
        <v>60</v>
      </c>
      <c r="N65" s="5" t="s">
        <v>274</v>
      </c>
      <c r="O65" s="3" t="s">
        <v>275</v>
      </c>
      <c r="P65" s="3" t="s">
        <v>14</v>
      </c>
      <c r="Q65" s="3">
        <v>2</v>
      </c>
      <c r="R65" s="43">
        <f>VLOOKUP('32'!O65,Malzemeler!C:D,2,0)</f>
        <v>6.3</v>
      </c>
      <c r="S65" s="43">
        <f t="shared" si="1"/>
        <v>12.6</v>
      </c>
    </row>
    <row r="66" spans="1:19" x14ac:dyDescent="0.35">
      <c r="A66" s="100"/>
      <c r="B66" s="1">
        <v>32</v>
      </c>
      <c r="C66" s="1" t="s">
        <v>698</v>
      </c>
      <c r="D66" s="1" t="s">
        <v>698</v>
      </c>
      <c r="E66" s="1" t="s">
        <v>698</v>
      </c>
      <c r="F66" s="1" t="s">
        <v>698</v>
      </c>
      <c r="G66" s="1" t="s">
        <v>698</v>
      </c>
      <c r="H66" s="1" t="s">
        <v>698</v>
      </c>
      <c r="I66" s="1" t="s">
        <v>698</v>
      </c>
      <c r="J66" s="1">
        <f t="shared" si="5"/>
        <v>1</v>
      </c>
      <c r="L66" s="1" t="s">
        <v>723</v>
      </c>
      <c r="M66" s="7">
        <v>61</v>
      </c>
      <c r="N66" s="5" t="s">
        <v>643</v>
      </c>
      <c r="O66" s="3" t="s">
        <v>661</v>
      </c>
      <c r="P66" s="3" t="s">
        <v>14</v>
      </c>
      <c r="Q66" s="3">
        <v>7.56</v>
      </c>
      <c r="R66" s="43">
        <f>VLOOKUP('32'!O66,Malzemeler!C:D,2,0)</f>
        <v>0</v>
      </c>
      <c r="S66" s="43">
        <f t="shared" si="1"/>
        <v>0</v>
      </c>
    </row>
    <row r="67" spans="1:19" x14ac:dyDescent="0.35">
      <c r="A67" s="100"/>
      <c r="B67" s="1">
        <v>32</v>
      </c>
      <c r="C67" s="1" t="s">
        <v>698</v>
      </c>
      <c r="D67" s="1" t="s">
        <v>698</v>
      </c>
      <c r="E67" s="1" t="s">
        <v>698</v>
      </c>
      <c r="F67" s="1" t="s">
        <v>698</v>
      </c>
      <c r="G67" s="1" t="s">
        <v>698</v>
      </c>
      <c r="H67" s="1" t="s">
        <v>698</v>
      </c>
      <c r="I67" s="1" t="s">
        <v>698</v>
      </c>
      <c r="J67" s="1">
        <f t="shared" si="5"/>
        <v>1</v>
      </c>
      <c r="L67" s="1" t="s">
        <v>723</v>
      </c>
      <c r="M67" s="7">
        <v>62</v>
      </c>
      <c r="N67" s="5" t="s">
        <v>313</v>
      </c>
      <c r="O67" s="3" t="s">
        <v>314</v>
      </c>
      <c r="P67" s="3" t="s">
        <v>14</v>
      </c>
      <c r="Q67" s="3">
        <v>30.396000000000001</v>
      </c>
      <c r="R67" s="43">
        <f>VLOOKUP('32'!O67,Malzemeler!C:D,2,0)</f>
        <v>1.1399999999999999</v>
      </c>
      <c r="S67" s="43">
        <f t="shared" ref="S67:S132" si="6">+R67*Q67</f>
        <v>34.651440000000001</v>
      </c>
    </row>
    <row r="68" spans="1:19" x14ac:dyDescent="0.35">
      <c r="A68" s="100"/>
      <c r="B68" s="1">
        <v>32</v>
      </c>
      <c r="C68" s="1" t="s">
        <v>698</v>
      </c>
      <c r="D68" s="1" t="s">
        <v>698</v>
      </c>
      <c r="E68" s="1" t="s">
        <v>698</v>
      </c>
      <c r="F68" s="1" t="s">
        <v>698</v>
      </c>
      <c r="G68" s="1" t="s">
        <v>698</v>
      </c>
      <c r="H68" s="1" t="s">
        <v>698</v>
      </c>
      <c r="I68" s="1" t="s">
        <v>698</v>
      </c>
      <c r="J68" s="1">
        <f t="shared" si="5"/>
        <v>1</v>
      </c>
      <c r="L68" s="1" t="s">
        <v>723</v>
      </c>
      <c r="M68" s="7">
        <v>63</v>
      </c>
      <c r="N68" s="5" t="s">
        <v>315</v>
      </c>
      <c r="O68" s="3" t="s">
        <v>316</v>
      </c>
      <c r="P68" s="3" t="s">
        <v>14</v>
      </c>
      <c r="Q68" s="3">
        <v>56.549855999999998</v>
      </c>
      <c r="R68" s="43">
        <f>VLOOKUP('32'!O68,Malzemeler!C:D,2,0)</f>
        <v>0.35</v>
      </c>
      <c r="S68" s="43">
        <f t="shared" si="6"/>
        <v>19.792449599999998</v>
      </c>
    </row>
    <row r="69" spans="1:19" x14ac:dyDescent="0.35">
      <c r="A69" s="100"/>
      <c r="B69" s="1">
        <v>32</v>
      </c>
      <c r="C69" s="1" t="s">
        <v>698</v>
      </c>
      <c r="D69" s="1" t="s">
        <v>698</v>
      </c>
      <c r="E69" s="1" t="s">
        <v>698</v>
      </c>
      <c r="F69" s="1" t="s">
        <v>698</v>
      </c>
      <c r="G69" s="1" t="s">
        <v>698</v>
      </c>
      <c r="H69" s="1" t="s">
        <v>698</v>
      </c>
      <c r="I69" s="1" t="s">
        <v>698</v>
      </c>
      <c r="J69" s="1">
        <f t="shared" si="5"/>
        <v>1</v>
      </c>
      <c r="L69" s="1" t="s">
        <v>723</v>
      </c>
      <c r="M69" s="7">
        <v>64</v>
      </c>
      <c r="N69" s="5" t="s">
        <v>317</v>
      </c>
      <c r="O69" s="3" t="s">
        <v>318</v>
      </c>
      <c r="P69" s="3" t="s">
        <v>14</v>
      </c>
      <c r="Q69" s="3">
        <v>40.056148</v>
      </c>
      <c r="R69" s="43">
        <f>VLOOKUP('32'!O69,Malzemeler!C:D,2,0)</f>
        <v>0.35</v>
      </c>
      <c r="S69" s="43">
        <f t="shared" si="6"/>
        <v>14.019651799999998</v>
      </c>
    </row>
    <row r="70" spans="1:19" x14ac:dyDescent="0.35">
      <c r="A70" s="100"/>
      <c r="B70" s="1">
        <v>32</v>
      </c>
      <c r="C70" s="1" t="s">
        <v>698</v>
      </c>
      <c r="D70" s="1" t="s">
        <v>698</v>
      </c>
      <c r="E70" s="1" t="s">
        <v>698</v>
      </c>
      <c r="F70" s="1" t="s">
        <v>698</v>
      </c>
      <c r="G70" s="1" t="s">
        <v>698</v>
      </c>
      <c r="H70" s="1" t="s">
        <v>698</v>
      </c>
      <c r="I70" s="1" t="s">
        <v>698</v>
      </c>
      <c r="J70" s="1">
        <f t="shared" si="5"/>
        <v>1</v>
      </c>
      <c r="L70" s="1" t="s">
        <v>723</v>
      </c>
      <c r="M70" s="7">
        <v>65</v>
      </c>
      <c r="N70" s="5" t="s">
        <v>319</v>
      </c>
      <c r="O70" s="3" t="s">
        <v>320</v>
      </c>
      <c r="P70" s="3" t="s">
        <v>14</v>
      </c>
      <c r="Q70" s="3">
        <v>4</v>
      </c>
      <c r="R70" s="43">
        <f>VLOOKUP('32'!O70,Malzemeler!C:D,2,0)</f>
        <v>0.8</v>
      </c>
      <c r="S70" s="43">
        <f t="shared" si="6"/>
        <v>3.2</v>
      </c>
    </row>
    <row r="71" spans="1:19" x14ac:dyDescent="0.35">
      <c r="A71" s="100"/>
      <c r="B71" s="1">
        <v>32</v>
      </c>
      <c r="C71" s="1" t="s">
        <v>698</v>
      </c>
      <c r="D71" s="1" t="s">
        <v>698</v>
      </c>
      <c r="E71" s="1" t="s">
        <v>698</v>
      </c>
      <c r="F71" s="1" t="s">
        <v>698</v>
      </c>
      <c r="G71" s="1" t="s">
        <v>698</v>
      </c>
      <c r="H71" s="1" t="s">
        <v>698</v>
      </c>
      <c r="I71" s="1" t="s">
        <v>698</v>
      </c>
      <c r="J71" s="1">
        <f t="shared" si="5"/>
        <v>1</v>
      </c>
      <c r="L71" s="1" t="s">
        <v>723</v>
      </c>
      <c r="M71" s="7">
        <v>66</v>
      </c>
      <c r="N71" s="5" t="s">
        <v>321</v>
      </c>
      <c r="O71" s="3" t="s">
        <v>322</v>
      </c>
      <c r="P71" s="3" t="s">
        <v>14</v>
      </c>
      <c r="Q71" s="3">
        <v>49.361729999999994</v>
      </c>
      <c r="R71" s="43">
        <f>VLOOKUP('32'!O71,Malzemeler!C:D,2,0)</f>
        <v>0.21</v>
      </c>
      <c r="S71" s="43">
        <f t="shared" si="6"/>
        <v>10.365963299999999</v>
      </c>
    </row>
    <row r="72" spans="1:19" x14ac:dyDescent="0.35">
      <c r="A72" s="100"/>
      <c r="B72" s="1">
        <v>32</v>
      </c>
      <c r="C72" s="1" t="s">
        <v>698</v>
      </c>
      <c r="D72" s="1" t="s">
        <v>698</v>
      </c>
      <c r="E72" s="1" t="s">
        <v>698</v>
      </c>
      <c r="F72" s="1" t="s">
        <v>698</v>
      </c>
      <c r="G72" s="1" t="s">
        <v>698</v>
      </c>
      <c r="H72" s="1" t="s">
        <v>698</v>
      </c>
      <c r="I72" s="1" t="s">
        <v>698</v>
      </c>
      <c r="J72" s="1">
        <f t="shared" si="5"/>
        <v>1</v>
      </c>
      <c r="L72" s="1" t="s">
        <v>723</v>
      </c>
      <c r="M72" s="7">
        <v>67</v>
      </c>
      <c r="N72" s="5" t="s">
        <v>323</v>
      </c>
      <c r="O72" s="3" t="s">
        <v>324</v>
      </c>
      <c r="P72" s="3" t="s">
        <v>14</v>
      </c>
      <c r="Q72" s="3">
        <v>4</v>
      </c>
      <c r="R72" s="43">
        <f>VLOOKUP('32'!O72,Malzemeler!C:D,2,0)</f>
        <v>0.8</v>
      </c>
      <c r="S72" s="43">
        <f t="shared" si="6"/>
        <v>3.2</v>
      </c>
    </row>
    <row r="73" spans="1:19" x14ac:dyDescent="0.35">
      <c r="A73" s="100"/>
      <c r="B73" s="1">
        <v>32</v>
      </c>
      <c r="C73" s="1" t="s">
        <v>698</v>
      </c>
      <c r="D73" s="1" t="s">
        <v>698</v>
      </c>
      <c r="E73" s="1" t="s">
        <v>698</v>
      </c>
      <c r="F73" s="1" t="s">
        <v>698</v>
      </c>
      <c r="G73" s="1" t="s">
        <v>698</v>
      </c>
      <c r="H73" s="1" t="s">
        <v>698</v>
      </c>
      <c r="I73" s="1" t="s">
        <v>698</v>
      </c>
      <c r="J73" s="1">
        <f t="shared" si="5"/>
        <v>1</v>
      </c>
      <c r="L73" s="1" t="s">
        <v>723</v>
      </c>
      <c r="M73" s="7">
        <v>68</v>
      </c>
      <c r="N73" s="5" t="s">
        <v>325</v>
      </c>
      <c r="O73" s="3" t="s">
        <v>326</v>
      </c>
      <c r="P73" s="3" t="s">
        <v>14</v>
      </c>
      <c r="Q73" s="3">
        <v>255.25976666666702</v>
      </c>
      <c r="R73" s="43">
        <f>VLOOKUP('32'!O73,Malzemeler!C:D,2,0)</f>
        <v>0.17</v>
      </c>
      <c r="S73" s="43">
        <f t="shared" si="6"/>
        <v>43.394160333333396</v>
      </c>
    </row>
    <row r="74" spans="1:19" x14ac:dyDescent="0.35">
      <c r="A74" s="100"/>
      <c r="B74" s="1">
        <v>32</v>
      </c>
      <c r="C74" s="1" t="s">
        <v>698</v>
      </c>
      <c r="D74" s="1" t="s">
        <v>698</v>
      </c>
      <c r="E74" s="1" t="s">
        <v>698</v>
      </c>
      <c r="F74" s="1" t="s">
        <v>698</v>
      </c>
      <c r="G74" s="1" t="s">
        <v>698</v>
      </c>
      <c r="H74" s="1" t="s">
        <v>698</v>
      </c>
      <c r="I74" s="1" t="s">
        <v>698</v>
      </c>
      <c r="J74" s="1">
        <f t="shared" si="5"/>
        <v>1</v>
      </c>
      <c r="L74" s="1" t="s">
        <v>723</v>
      </c>
      <c r="M74" s="7">
        <v>69</v>
      </c>
      <c r="N74" s="5" t="s">
        <v>327</v>
      </c>
      <c r="O74" s="3" t="s">
        <v>328</v>
      </c>
      <c r="P74" s="3" t="s">
        <v>14</v>
      </c>
      <c r="Q74" s="3">
        <v>86</v>
      </c>
      <c r="R74" s="43">
        <f>VLOOKUP('32'!O74,Malzemeler!C:D,2,0)</f>
        <v>0.66</v>
      </c>
      <c r="S74" s="43">
        <f t="shared" si="6"/>
        <v>56.760000000000005</v>
      </c>
    </row>
    <row r="75" spans="1:19" x14ac:dyDescent="0.35">
      <c r="A75" s="100"/>
      <c r="B75" s="1">
        <v>32</v>
      </c>
      <c r="C75" s="1" t="s">
        <v>698</v>
      </c>
      <c r="D75" s="1" t="s">
        <v>698</v>
      </c>
      <c r="E75" s="1" t="s">
        <v>698</v>
      </c>
      <c r="F75" s="1" t="s">
        <v>698</v>
      </c>
      <c r="G75" s="1" t="s">
        <v>698</v>
      </c>
      <c r="H75" s="1" t="s">
        <v>698</v>
      </c>
      <c r="I75" s="1" t="s">
        <v>698</v>
      </c>
      <c r="J75" s="1">
        <f t="shared" si="5"/>
        <v>1</v>
      </c>
      <c r="L75" s="1" t="s">
        <v>723</v>
      </c>
      <c r="M75" s="7">
        <v>70</v>
      </c>
      <c r="N75" s="5" t="s">
        <v>329</v>
      </c>
      <c r="O75" s="3" t="s">
        <v>330</v>
      </c>
      <c r="P75" s="3" t="s">
        <v>14</v>
      </c>
      <c r="Q75" s="3">
        <v>86</v>
      </c>
      <c r="R75" s="43">
        <f>VLOOKUP('32'!O75,Malzemeler!C:D,2,0)</f>
        <v>0.28999999999999998</v>
      </c>
      <c r="S75" s="43">
        <f t="shared" si="6"/>
        <v>24.939999999999998</v>
      </c>
    </row>
    <row r="76" spans="1:19" x14ac:dyDescent="0.35">
      <c r="A76" s="100"/>
      <c r="B76" s="1">
        <v>32</v>
      </c>
      <c r="C76" s="1" t="s">
        <v>698</v>
      </c>
      <c r="D76" s="1" t="s">
        <v>698</v>
      </c>
      <c r="E76" s="1" t="s">
        <v>698</v>
      </c>
      <c r="F76" s="1" t="s">
        <v>698</v>
      </c>
      <c r="G76" s="1" t="s">
        <v>698</v>
      </c>
      <c r="H76" s="1" t="s">
        <v>698</v>
      </c>
      <c r="I76" s="1" t="s">
        <v>698</v>
      </c>
      <c r="J76" s="1">
        <f t="shared" si="5"/>
        <v>1</v>
      </c>
      <c r="L76" s="1" t="s">
        <v>723</v>
      </c>
      <c r="M76" s="7">
        <v>71</v>
      </c>
      <c r="N76" s="5" t="s">
        <v>331</v>
      </c>
      <c r="O76" s="3" t="s">
        <v>332</v>
      </c>
      <c r="P76" s="3" t="s">
        <v>14</v>
      </c>
      <c r="Q76" s="3">
        <v>86</v>
      </c>
      <c r="R76" s="43">
        <f>VLOOKUP('32'!O76,Malzemeler!C:D,2,0)</f>
        <v>0.28999999999999998</v>
      </c>
      <c r="S76" s="43">
        <f t="shared" si="6"/>
        <v>24.939999999999998</v>
      </c>
    </row>
    <row r="77" spans="1:19" x14ac:dyDescent="0.35">
      <c r="A77" s="100"/>
      <c r="B77" s="1">
        <v>32</v>
      </c>
      <c r="C77" s="1" t="s">
        <v>698</v>
      </c>
      <c r="D77" s="1" t="s">
        <v>698</v>
      </c>
      <c r="E77" s="1" t="s">
        <v>698</v>
      </c>
      <c r="F77" s="1" t="s">
        <v>698</v>
      </c>
      <c r="G77" s="1" t="s">
        <v>698</v>
      </c>
      <c r="H77" s="1" t="s">
        <v>698</v>
      </c>
      <c r="I77" s="1" t="s">
        <v>698</v>
      </c>
      <c r="J77" s="1">
        <f t="shared" si="5"/>
        <v>1</v>
      </c>
      <c r="L77" s="1" t="s">
        <v>723</v>
      </c>
      <c r="M77" s="7">
        <v>72</v>
      </c>
      <c r="N77" s="5" t="s">
        <v>333</v>
      </c>
      <c r="O77" s="3" t="s">
        <v>334</v>
      </c>
      <c r="P77" s="3" t="s">
        <v>14</v>
      </c>
      <c r="Q77" s="3">
        <v>86</v>
      </c>
      <c r="R77" s="43">
        <f>VLOOKUP('32'!O77,Malzemeler!C:D,2,0)</f>
        <v>0.18</v>
      </c>
      <c r="S77" s="43">
        <f t="shared" si="6"/>
        <v>15.479999999999999</v>
      </c>
    </row>
    <row r="78" spans="1:19" x14ac:dyDescent="0.35">
      <c r="A78" s="100"/>
      <c r="B78" s="1">
        <v>32</v>
      </c>
      <c r="C78" s="1" t="s">
        <v>698</v>
      </c>
      <c r="D78" s="1" t="s">
        <v>698</v>
      </c>
      <c r="E78" s="1" t="s">
        <v>698</v>
      </c>
      <c r="F78" s="1" t="s">
        <v>698</v>
      </c>
      <c r="G78" s="1" t="s">
        <v>698</v>
      </c>
      <c r="H78" s="1" t="s">
        <v>698</v>
      </c>
      <c r="I78" s="1" t="s">
        <v>698</v>
      </c>
      <c r="J78" s="1">
        <f t="shared" si="5"/>
        <v>1</v>
      </c>
      <c r="L78" s="1" t="s">
        <v>723</v>
      </c>
      <c r="M78" s="7">
        <v>73</v>
      </c>
      <c r="N78" s="5" t="s">
        <v>335</v>
      </c>
      <c r="O78" s="3" t="s">
        <v>336</v>
      </c>
      <c r="P78" s="3" t="s">
        <v>14</v>
      </c>
      <c r="Q78" s="3">
        <v>86</v>
      </c>
      <c r="R78" s="43">
        <f>VLOOKUP('32'!O78,Malzemeler!C:D,2,0)</f>
        <v>0.26</v>
      </c>
      <c r="S78" s="43">
        <f t="shared" si="6"/>
        <v>22.36</v>
      </c>
    </row>
    <row r="79" spans="1:19" x14ac:dyDescent="0.35">
      <c r="A79" s="100"/>
      <c r="B79" s="1">
        <v>32</v>
      </c>
      <c r="C79" s="1" t="s">
        <v>698</v>
      </c>
      <c r="D79" s="1" t="s">
        <v>698</v>
      </c>
      <c r="E79" s="1" t="s">
        <v>698</v>
      </c>
      <c r="F79" s="1" t="s">
        <v>698</v>
      </c>
      <c r="G79" s="1" t="s">
        <v>698</v>
      </c>
      <c r="H79" s="1" t="s">
        <v>698</v>
      </c>
      <c r="I79" s="1" t="s">
        <v>698</v>
      </c>
      <c r="J79" s="1">
        <f t="shared" si="5"/>
        <v>1</v>
      </c>
      <c r="L79" s="1" t="s">
        <v>723</v>
      </c>
      <c r="M79" s="7">
        <v>74</v>
      </c>
      <c r="N79" s="5" t="s">
        <v>644</v>
      </c>
      <c r="O79" s="3" t="s">
        <v>662</v>
      </c>
      <c r="P79" s="3" t="s">
        <v>14</v>
      </c>
      <c r="Q79" s="3">
        <v>0.59789548800000003</v>
      </c>
      <c r="R79" s="43">
        <f>VLOOKUP('32'!O79,Malzemeler!C:D,2,0)</f>
        <v>0</v>
      </c>
      <c r="S79" s="43">
        <f t="shared" si="6"/>
        <v>0</v>
      </c>
    </row>
    <row r="80" spans="1:19" x14ac:dyDescent="0.35">
      <c r="A80" s="100"/>
      <c r="B80" s="1">
        <v>32</v>
      </c>
      <c r="C80" s="1" t="s">
        <v>698</v>
      </c>
      <c r="D80" s="1" t="s">
        <v>698</v>
      </c>
      <c r="E80" s="1" t="s">
        <v>698</v>
      </c>
      <c r="F80" s="1" t="s">
        <v>698</v>
      </c>
      <c r="G80" s="1" t="s">
        <v>698</v>
      </c>
      <c r="H80" s="1" t="s">
        <v>698</v>
      </c>
      <c r="I80" s="1" t="s">
        <v>698</v>
      </c>
      <c r="J80" s="1">
        <f t="shared" si="5"/>
        <v>1</v>
      </c>
      <c r="L80" s="1" t="s">
        <v>723</v>
      </c>
      <c r="M80" s="7">
        <v>75</v>
      </c>
      <c r="N80" s="5" t="s">
        <v>645</v>
      </c>
      <c r="O80" s="3" t="s">
        <v>663</v>
      </c>
      <c r="P80" s="3" t="s">
        <v>14</v>
      </c>
      <c r="Q80" s="3">
        <v>0.14947387200000001</v>
      </c>
      <c r="R80" s="43">
        <f>VLOOKUP('32'!O80,Malzemeler!C:D,2,0)</f>
        <v>0</v>
      </c>
      <c r="S80" s="43">
        <f t="shared" si="6"/>
        <v>0</v>
      </c>
    </row>
    <row r="81" spans="1:19" x14ac:dyDescent="0.35">
      <c r="A81" s="100"/>
      <c r="B81" s="1">
        <v>32</v>
      </c>
      <c r="C81" s="1" t="s">
        <v>698</v>
      </c>
      <c r="D81" s="1" t="s">
        <v>698</v>
      </c>
      <c r="E81" s="1" t="s">
        <v>698</v>
      </c>
      <c r="F81" s="1" t="s">
        <v>698</v>
      </c>
      <c r="G81" s="1" t="s">
        <v>698</v>
      </c>
      <c r="H81" s="1" t="s">
        <v>698</v>
      </c>
      <c r="I81" s="1" t="s">
        <v>698</v>
      </c>
      <c r="J81" s="1">
        <f t="shared" si="5"/>
        <v>1</v>
      </c>
      <c r="L81" s="1" t="s">
        <v>723</v>
      </c>
      <c r="M81" s="7">
        <v>76</v>
      </c>
      <c r="N81" s="5" t="s">
        <v>646</v>
      </c>
      <c r="O81" s="3" t="s">
        <v>664</v>
      </c>
      <c r="P81" s="3" t="s">
        <v>14</v>
      </c>
      <c r="Q81" s="3">
        <v>30</v>
      </c>
      <c r="R81" s="43">
        <f>VLOOKUP('32'!O81,Malzemeler!C:D,2,0)</f>
        <v>0</v>
      </c>
      <c r="S81" s="43">
        <f t="shared" si="6"/>
        <v>0</v>
      </c>
    </row>
    <row r="82" spans="1:19" x14ac:dyDescent="0.35">
      <c r="A82" s="100"/>
      <c r="B82" s="1">
        <v>32</v>
      </c>
      <c r="C82" s="1" t="s">
        <v>698</v>
      </c>
      <c r="D82" s="1" t="s">
        <v>698</v>
      </c>
      <c r="E82" s="1" t="s">
        <v>698</v>
      </c>
      <c r="F82" s="1" t="s">
        <v>698</v>
      </c>
      <c r="G82" s="1" t="s">
        <v>698</v>
      </c>
      <c r="H82" s="1" t="s">
        <v>698</v>
      </c>
      <c r="I82" s="1" t="s">
        <v>698</v>
      </c>
      <c r="J82" s="1">
        <f t="shared" si="5"/>
        <v>1</v>
      </c>
      <c r="L82" s="1" t="s">
        <v>723</v>
      </c>
      <c r="M82" s="7">
        <v>77</v>
      </c>
      <c r="N82" s="5" t="s">
        <v>337</v>
      </c>
      <c r="O82" s="3" t="s">
        <v>338</v>
      </c>
      <c r="P82" s="3" t="s">
        <v>14</v>
      </c>
      <c r="Q82" s="3">
        <v>12</v>
      </c>
      <c r="R82" s="43">
        <f>VLOOKUP('32'!O82,Malzemeler!C:D,2,0)</f>
        <v>2.25</v>
      </c>
      <c r="S82" s="43">
        <f t="shared" si="6"/>
        <v>27</v>
      </c>
    </row>
    <row r="83" spans="1:19" x14ac:dyDescent="0.35">
      <c r="A83" s="100"/>
      <c r="B83" s="1">
        <v>32</v>
      </c>
      <c r="C83" s="1" t="s">
        <v>698</v>
      </c>
      <c r="D83" s="1" t="s">
        <v>698</v>
      </c>
      <c r="E83" s="1" t="s">
        <v>698</v>
      </c>
      <c r="F83" s="1" t="s">
        <v>698</v>
      </c>
      <c r="G83" s="1" t="s">
        <v>698</v>
      </c>
      <c r="H83" s="1" t="s">
        <v>698</v>
      </c>
      <c r="I83" s="1" t="s">
        <v>698</v>
      </c>
      <c r="J83" s="1">
        <f t="shared" si="5"/>
        <v>1</v>
      </c>
      <c r="L83" s="1" t="s">
        <v>723</v>
      </c>
      <c r="M83" s="7">
        <v>78</v>
      </c>
      <c r="N83" s="5" t="s">
        <v>647</v>
      </c>
      <c r="O83" s="3" t="s">
        <v>665</v>
      </c>
      <c r="P83" s="3" t="s">
        <v>14</v>
      </c>
      <c r="Q83" s="3">
        <v>16</v>
      </c>
      <c r="R83" s="43">
        <f>VLOOKUP('32'!O83,Malzemeler!C:D,2,0)</f>
        <v>0</v>
      </c>
      <c r="S83" s="43">
        <f t="shared" si="6"/>
        <v>0</v>
      </c>
    </row>
    <row r="84" spans="1:19" x14ac:dyDescent="0.35">
      <c r="A84" s="100"/>
      <c r="B84" s="1">
        <v>32</v>
      </c>
      <c r="C84" s="1" t="s">
        <v>698</v>
      </c>
      <c r="D84" s="1" t="s">
        <v>698</v>
      </c>
      <c r="E84" s="1" t="s">
        <v>698</v>
      </c>
      <c r="F84" s="1" t="s">
        <v>698</v>
      </c>
      <c r="G84" s="1" t="s">
        <v>698</v>
      </c>
      <c r="H84" s="1" t="s">
        <v>698</v>
      </c>
      <c r="I84" s="1" t="s">
        <v>698</v>
      </c>
      <c r="J84" s="1">
        <f t="shared" si="5"/>
        <v>1</v>
      </c>
      <c r="L84" s="1" t="s">
        <v>723</v>
      </c>
      <c r="M84" s="7">
        <v>79</v>
      </c>
      <c r="N84" s="5" t="s">
        <v>341</v>
      </c>
      <c r="O84" s="3" t="s">
        <v>342</v>
      </c>
      <c r="P84" s="3" t="s">
        <v>14</v>
      </c>
      <c r="Q84" s="3">
        <v>273.32430399999998</v>
      </c>
      <c r="R84" s="43">
        <f>VLOOKUP('32'!O84,Malzemeler!C:D,2,0)</f>
        <v>0.2</v>
      </c>
      <c r="S84" s="43">
        <f t="shared" si="6"/>
        <v>54.6648608</v>
      </c>
    </row>
    <row r="85" spans="1:19" x14ac:dyDescent="0.35">
      <c r="A85" s="100"/>
      <c r="B85" s="1">
        <v>32</v>
      </c>
      <c r="C85" s="1" t="s">
        <v>698</v>
      </c>
      <c r="D85" s="1" t="s">
        <v>698</v>
      </c>
      <c r="E85" s="1" t="s">
        <v>698</v>
      </c>
      <c r="F85" s="1" t="s">
        <v>698</v>
      </c>
      <c r="G85" s="1" t="s">
        <v>698</v>
      </c>
      <c r="H85" s="1" t="s">
        <v>698</v>
      </c>
      <c r="I85" s="1" t="s">
        <v>698</v>
      </c>
      <c r="J85" s="1">
        <f t="shared" si="5"/>
        <v>1</v>
      </c>
      <c r="L85" s="1" t="s">
        <v>723</v>
      </c>
      <c r="M85" s="7">
        <v>80</v>
      </c>
      <c r="N85" s="5" t="s">
        <v>343</v>
      </c>
      <c r="O85" s="3" t="s">
        <v>344</v>
      </c>
      <c r="P85" s="3" t="s">
        <v>14</v>
      </c>
      <c r="Q85" s="3">
        <v>24</v>
      </c>
      <c r="R85" s="43">
        <f>VLOOKUP('32'!O85,Malzemeler!C:D,2,0)</f>
        <v>1</v>
      </c>
      <c r="S85" s="43">
        <f t="shared" si="6"/>
        <v>24</v>
      </c>
    </row>
    <row r="86" spans="1:19" x14ac:dyDescent="0.35">
      <c r="A86" s="100"/>
      <c r="B86" s="1">
        <v>32</v>
      </c>
      <c r="C86" s="1" t="s">
        <v>698</v>
      </c>
      <c r="D86" s="1" t="s">
        <v>698</v>
      </c>
      <c r="E86" s="1" t="s">
        <v>698</v>
      </c>
      <c r="F86" s="1" t="s">
        <v>698</v>
      </c>
      <c r="G86" s="1" t="s">
        <v>698</v>
      </c>
      <c r="H86" s="1" t="s">
        <v>698</v>
      </c>
      <c r="I86" s="1" t="s">
        <v>698</v>
      </c>
      <c r="J86" s="1">
        <f t="shared" si="5"/>
        <v>1</v>
      </c>
      <c r="L86" s="1" t="s">
        <v>723</v>
      </c>
      <c r="M86" s="7">
        <v>81</v>
      </c>
      <c r="N86" s="5" t="s">
        <v>396</v>
      </c>
      <c r="O86" s="3" t="s">
        <v>397</v>
      </c>
      <c r="P86" s="3" t="s">
        <v>14</v>
      </c>
      <c r="Q86" s="3">
        <v>16.493707999999998</v>
      </c>
      <c r="R86" s="43">
        <f>VLOOKUP('32'!O86,Malzemeler!C:D,2,0)</f>
        <v>3.52</v>
      </c>
      <c r="S86" s="43">
        <f t="shared" si="6"/>
        <v>58.057852159999996</v>
      </c>
    </row>
    <row r="87" spans="1:19" x14ac:dyDescent="0.35">
      <c r="A87" s="100"/>
      <c r="B87" s="1">
        <v>32</v>
      </c>
      <c r="C87" s="1" t="s">
        <v>698</v>
      </c>
      <c r="D87" s="1" t="s">
        <v>698</v>
      </c>
      <c r="E87" s="1" t="s">
        <v>698</v>
      </c>
      <c r="F87" s="1" t="s">
        <v>698</v>
      </c>
      <c r="G87" s="1" t="s">
        <v>698</v>
      </c>
      <c r="H87" s="1" t="s">
        <v>698</v>
      </c>
      <c r="I87" s="1" t="s">
        <v>698</v>
      </c>
      <c r="J87" s="1">
        <f t="shared" si="5"/>
        <v>1</v>
      </c>
      <c r="L87" s="1" t="s">
        <v>723</v>
      </c>
      <c r="M87" s="7">
        <v>82</v>
      </c>
      <c r="N87" s="5" t="s">
        <v>349</v>
      </c>
      <c r="O87" s="3" t="s">
        <v>350</v>
      </c>
      <c r="P87" s="3" t="s">
        <v>14</v>
      </c>
      <c r="Q87" s="3">
        <v>2</v>
      </c>
      <c r="R87" s="43">
        <f>VLOOKUP('32'!O87,Malzemeler!C:D,2,0)</f>
        <v>5.44</v>
      </c>
      <c r="S87" s="43">
        <f t="shared" si="6"/>
        <v>10.88</v>
      </c>
    </row>
    <row r="88" spans="1:19" x14ac:dyDescent="0.35">
      <c r="A88" s="100"/>
      <c r="B88" s="1">
        <v>32</v>
      </c>
      <c r="C88" s="1" t="s">
        <v>698</v>
      </c>
      <c r="D88" s="1" t="s">
        <v>698</v>
      </c>
      <c r="E88" s="1" t="s">
        <v>698</v>
      </c>
      <c r="F88" s="1" t="s">
        <v>698</v>
      </c>
      <c r="G88" s="1" t="s">
        <v>698</v>
      </c>
      <c r="H88" s="1" t="s">
        <v>698</v>
      </c>
      <c r="I88" s="1" t="s">
        <v>698</v>
      </c>
      <c r="J88" s="1">
        <f t="shared" si="5"/>
        <v>1</v>
      </c>
      <c r="L88" s="1" t="s">
        <v>723</v>
      </c>
      <c r="M88" s="7">
        <v>83</v>
      </c>
      <c r="N88" s="5" t="s">
        <v>351</v>
      </c>
      <c r="O88" s="3" t="s">
        <v>352</v>
      </c>
      <c r="P88" s="3" t="s">
        <v>14</v>
      </c>
      <c r="Q88" s="3">
        <v>2</v>
      </c>
      <c r="R88" s="43">
        <f>VLOOKUP('32'!O88,Malzemeler!C:D,2,0)</f>
        <v>2.98</v>
      </c>
      <c r="S88" s="43">
        <f t="shared" si="6"/>
        <v>5.96</v>
      </c>
    </row>
    <row r="89" spans="1:19" x14ac:dyDescent="0.35">
      <c r="A89" s="100"/>
      <c r="B89" s="1">
        <v>32</v>
      </c>
      <c r="C89" s="1" t="s">
        <v>698</v>
      </c>
      <c r="D89" s="1" t="s">
        <v>698</v>
      </c>
      <c r="E89" s="1" t="s">
        <v>698</v>
      </c>
      <c r="F89" s="1" t="s">
        <v>698</v>
      </c>
      <c r="G89" s="1" t="s">
        <v>698</v>
      </c>
      <c r="H89" s="1" t="s">
        <v>698</v>
      </c>
      <c r="I89" s="1" t="s">
        <v>698</v>
      </c>
      <c r="J89" s="1">
        <f t="shared" si="5"/>
        <v>1</v>
      </c>
      <c r="L89" s="1" t="s">
        <v>723</v>
      </c>
      <c r="M89" s="7">
        <v>84</v>
      </c>
      <c r="N89" s="5" t="s">
        <v>648</v>
      </c>
      <c r="O89" s="3" t="s">
        <v>648</v>
      </c>
      <c r="P89" s="3" t="s">
        <v>14</v>
      </c>
      <c r="Q89" s="3">
        <v>20</v>
      </c>
      <c r="R89" s="43">
        <f>VLOOKUP('32'!O89,Malzemeler!C:D,2,0)</f>
        <v>0</v>
      </c>
      <c r="S89" s="43">
        <f t="shared" si="6"/>
        <v>0</v>
      </c>
    </row>
    <row r="90" spans="1:19" x14ac:dyDescent="0.35">
      <c r="A90" s="100"/>
      <c r="B90" s="1">
        <v>32</v>
      </c>
      <c r="C90" s="1" t="s">
        <v>698</v>
      </c>
      <c r="D90" s="1" t="s">
        <v>698</v>
      </c>
      <c r="E90" s="1" t="s">
        <v>698</v>
      </c>
      <c r="F90" s="1" t="s">
        <v>698</v>
      </c>
      <c r="G90" s="1" t="s">
        <v>698</v>
      </c>
      <c r="H90" s="1" t="s">
        <v>698</v>
      </c>
      <c r="I90" s="1" t="s">
        <v>698</v>
      </c>
      <c r="J90" s="1">
        <f t="shared" si="5"/>
        <v>1</v>
      </c>
      <c r="L90" s="1" t="s">
        <v>723</v>
      </c>
      <c r="M90" s="7">
        <v>85</v>
      </c>
      <c r="N90" s="5" t="s">
        <v>649</v>
      </c>
      <c r="O90" s="3" t="s">
        <v>649</v>
      </c>
      <c r="P90" s="3" t="s">
        <v>14</v>
      </c>
      <c r="Q90" s="3">
        <v>8</v>
      </c>
      <c r="R90" s="43">
        <f>VLOOKUP('32'!O90,Malzemeler!C:D,2,0)</f>
        <v>0</v>
      </c>
      <c r="S90" s="43">
        <f t="shared" si="6"/>
        <v>0</v>
      </c>
    </row>
    <row r="91" spans="1:19" x14ac:dyDescent="0.35">
      <c r="A91" s="100"/>
      <c r="B91" s="1">
        <v>32</v>
      </c>
      <c r="C91" s="1" t="s">
        <v>698</v>
      </c>
      <c r="D91" s="1" t="s">
        <v>698</v>
      </c>
      <c r="E91" s="1" t="s">
        <v>698</v>
      </c>
      <c r="F91" s="1" t="s">
        <v>698</v>
      </c>
      <c r="G91" s="1" t="s">
        <v>698</v>
      </c>
      <c r="H91" s="1" t="s">
        <v>698</v>
      </c>
      <c r="I91" s="1" t="s">
        <v>698</v>
      </c>
      <c r="J91" s="1">
        <f t="shared" si="5"/>
        <v>1</v>
      </c>
      <c r="L91" s="1" t="s">
        <v>723</v>
      </c>
      <c r="M91" s="7">
        <v>86</v>
      </c>
      <c r="N91" s="5" t="s">
        <v>731</v>
      </c>
      <c r="O91" s="3" t="s">
        <v>732</v>
      </c>
      <c r="P91" s="3" t="s">
        <v>14</v>
      </c>
      <c r="Q91" s="3">
        <v>89.11</v>
      </c>
      <c r="R91" s="43">
        <f>VLOOKUP('32'!O91,Malzemeler!C:D,2,0)</f>
        <v>0</v>
      </c>
      <c r="S91" s="43">
        <f t="shared" si="6"/>
        <v>0</v>
      </c>
    </row>
    <row r="92" spans="1:19" ht="15" customHeight="1" x14ac:dyDescent="0.35">
      <c r="A92" s="100" t="s">
        <v>722</v>
      </c>
      <c r="B92" s="1">
        <v>32</v>
      </c>
      <c r="C92" s="1" t="s">
        <v>698</v>
      </c>
      <c r="D92" s="1" t="s">
        <v>698</v>
      </c>
      <c r="E92" s="1" t="s">
        <v>698</v>
      </c>
      <c r="F92" s="1" t="s">
        <v>698</v>
      </c>
      <c r="G92" s="1" t="s">
        <v>698</v>
      </c>
      <c r="H92" s="1" t="s">
        <v>698</v>
      </c>
      <c r="I92" s="1" t="s">
        <v>698</v>
      </c>
      <c r="J92" s="1">
        <f t="shared" si="0"/>
        <v>1</v>
      </c>
      <c r="L92" s="1" t="s">
        <v>722</v>
      </c>
      <c r="M92" s="7">
        <v>1</v>
      </c>
      <c r="N92" s="5" t="s">
        <v>27</v>
      </c>
      <c r="O92" s="3" t="s">
        <v>28</v>
      </c>
      <c r="P92" s="3" t="s">
        <v>14</v>
      </c>
      <c r="Q92" s="3">
        <v>1</v>
      </c>
      <c r="R92" s="43">
        <f>VLOOKUP('32'!O92,Malzemeler!C:D,2,0)</f>
        <v>4.76</v>
      </c>
      <c r="S92" s="43">
        <f t="shared" si="6"/>
        <v>4.76</v>
      </c>
    </row>
    <row r="93" spans="1:19" ht="15" customHeight="1" x14ac:dyDescent="0.35">
      <c r="A93" s="100"/>
      <c r="B93" s="1">
        <v>32</v>
      </c>
      <c r="C93" s="1" t="s">
        <v>698</v>
      </c>
      <c r="D93" s="1" t="s">
        <v>698</v>
      </c>
      <c r="E93" s="1" t="s">
        <v>698</v>
      </c>
      <c r="F93" s="1" t="s">
        <v>698</v>
      </c>
      <c r="G93" s="1" t="s">
        <v>698</v>
      </c>
      <c r="H93" s="1" t="s">
        <v>698</v>
      </c>
      <c r="I93" s="1" t="s">
        <v>698</v>
      </c>
      <c r="J93" s="1">
        <f t="shared" si="0"/>
        <v>1</v>
      </c>
      <c r="L93" s="1" t="s">
        <v>722</v>
      </c>
      <c r="M93" s="7">
        <v>2</v>
      </c>
      <c r="N93" s="5" t="s">
        <v>29</v>
      </c>
      <c r="O93" s="3" t="s">
        <v>30</v>
      </c>
      <c r="P93" s="3" t="s">
        <v>14</v>
      </c>
      <c r="Q93" s="3">
        <v>1</v>
      </c>
      <c r="R93" s="43">
        <f>VLOOKUP('32'!O93,Malzemeler!C:D,2,0)</f>
        <v>4.76</v>
      </c>
      <c r="S93" s="43">
        <f t="shared" si="6"/>
        <v>4.76</v>
      </c>
    </row>
    <row r="94" spans="1:19" x14ac:dyDescent="0.35">
      <c r="A94" s="100"/>
      <c r="B94" s="1">
        <v>32</v>
      </c>
      <c r="C94" s="1" t="s">
        <v>698</v>
      </c>
      <c r="D94" s="1" t="s">
        <v>698</v>
      </c>
      <c r="E94" s="1" t="s">
        <v>698</v>
      </c>
      <c r="F94" s="1" t="s">
        <v>698</v>
      </c>
      <c r="G94" s="1" t="s">
        <v>698</v>
      </c>
      <c r="H94" s="1" t="s">
        <v>698</v>
      </c>
      <c r="I94" s="1" t="s">
        <v>698</v>
      </c>
      <c r="J94" s="1">
        <f t="shared" si="0"/>
        <v>1</v>
      </c>
      <c r="L94" s="1" t="s">
        <v>722</v>
      </c>
      <c r="M94" s="7">
        <v>3</v>
      </c>
      <c r="N94" s="5" t="s">
        <v>196</v>
      </c>
      <c r="O94" s="3" t="s">
        <v>540</v>
      </c>
      <c r="P94" s="3" t="s">
        <v>14</v>
      </c>
      <c r="Q94" s="3">
        <v>1</v>
      </c>
      <c r="R94" s="43">
        <f>VLOOKUP('32'!O94,Malzemeler!C:D,2,0)</f>
        <v>0</v>
      </c>
      <c r="S94" s="43">
        <f t="shared" si="6"/>
        <v>0</v>
      </c>
    </row>
    <row r="95" spans="1:19" x14ac:dyDescent="0.35">
      <c r="A95" s="100"/>
      <c r="B95" s="1">
        <v>32</v>
      </c>
      <c r="C95" s="1" t="s">
        <v>698</v>
      </c>
      <c r="D95" s="1" t="s">
        <v>698</v>
      </c>
      <c r="E95" s="1" t="s">
        <v>698</v>
      </c>
      <c r="F95" s="1" t="s">
        <v>698</v>
      </c>
      <c r="G95" s="1" t="s">
        <v>698</v>
      </c>
      <c r="H95" s="1" t="s">
        <v>698</v>
      </c>
      <c r="I95" s="1" t="s">
        <v>698</v>
      </c>
      <c r="J95" s="1">
        <f t="shared" si="0"/>
        <v>1</v>
      </c>
      <c r="L95" s="1" t="s">
        <v>722</v>
      </c>
      <c r="M95" s="7">
        <v>4</v>
      </c>
      <c r="N95" s="5" t="s">
        <v>25</v>
      </c>
      <c r="O95" s="3" t="s">
        <v>26</v>
      </c>
      <c r="P95" s="3" t="s">
        <v>14</v>
      </c>
      <c r="Q95" s="3">
        <v>1</v>
      </c>
      <c r="R95" s="43">
        <f>VLOOKUP('32'!O95,Malzemeler!C:D,2,0)</f>
        <v>40.53</v>
      </c>
      <c r="S95" s="43">
        <f t="shared" si="6"/>
        <v>40.53</v>
      </c>
    </row>
    <row r="96" spans="1:19" x14ac:dyDescent="0.35">
      <c r="A96" s="100"/>
      <c r="B96" s="1">
        <v>32</v>
      </c>
      <c r="C96" s="1" t="s">
        <v>698</v>
      </c>
      <c r="D96" s="1" t="s">
        <v>698</v>
      </c>
      <c r="E96" s="1" t="s">
        <v>698</v>
      </c>
      <c r="F96" s="1" t="s">
        <v>698</v>
      </c>
      <c r="G96" s="1" t="s">
        <v>698</v>
      </c>
      <c r="H96" s="1" t="s">
        <v>698</v>
      </c>
      <c r="I96" s="1" t="s">
        <v>698</v>
      </c>
      <c r="J96" s="1">
        <f t="shared" si="0"/>
        <v>1</v>
      </c>
      <c r="L96" s="1" t="s">
        <v>722</v>
      </c>
      <c r="M96" s="7">
        <v>5</v>
      </c>
      <c r="N96" s="5" t="s">
        <v>49</v>
      </c>
      <c r="O96" s="3" t="s">
        <v>50</v>
      </c>
      <c r="P96" s="3" t="s">
        <v>14</v>
      </c>
      <c r="Q96" s="3">
        <v>1</v>
      </c>
      <c r="R96" s="43">
        <f>VLOOKUP('32'!O96,Malzemeler!C:D,2,0)</f>
        <v>46.47</v>
      </c>
      <c r="S96" s="43">
        <f t="shared" si="6"/>
        <v>46.47</v>
      </c>
    </row>
    <row r="97" spans="1:19" x14ac:dyDescent="0.35">
      <c r="A97" s="100"/>
      <c r="B97" s="1">
        <v>32</v>
      </c>
      <c r="C97" s="1" t="s">
        <v>698</v>
      </c>
      <c r="D97" s="1" t="s">
        <v>698</v>
      </c>
      <c r="E97" s="1" t="s">
        <v>698</v>
      </c>
      <c r="F97" s="1" t="s">
        <v>698</v>
      </c>
      <c r="G97" s="1" t="s">
        <v>698</v>
      </c>
      <c r="H97" s="1" t="s">
        <v>698</v>
      </c>
      <c r="I97" s="1" t="s">
        <v>698</v>
      </c>
      <c r="J97" s="1">
        <f t="shared" si="0"/>
        <v>1</v>
      </c>
      <c r="L97" s="1" t="s">
        <v>722</v>
      </c>
      <c r="M97" s="7">
        <v>6</v>
      </c>
      <c r="N97" s="5" t="s">
        <v>51</v>
      </c>
      <c r="O97" s="3" t="s">
        <v>52</v>
      </c>
      <c r="P97" s="3" t="s">
        <v>14</v>
      </c>
      <c r="Q97" s="3">
        <v>1</v>
      </c>
      <c r="R97" s="43">
        <f>VLOOKUP('32'!O97,Malzemeler!C:D,2,0)</f>
        <v>74.48</v>
      </c>
      <c r="S97" s="43">
        <f t="shared" si="6"/>
        <v>74.48</v>
      </c>
    </row>
    <row r="98" spans="1:19" x14ac:dyDescent="0.35">
      <c r="A98" s="100"/>
      <c r="B98" s="1">
        <v>32</v>
      </c>
      <c r="C98" s="1" t="s">
        <v>698</v>
      </c>
      <c r="D98" s="1" t="s">
        <v>698</v>
      </c>
      <c r="E98" s="1" t="s">
        <v>698</v>
      </c>
      <c r="F98" s="1" t="s">
        <v>698</v>
      </c>
      <c r="G98" s="1" t="s">
        <v>698</v>
      </c>
      <c r="H98" s="1" t="s">
        <v>698</v>
      </c>
      <c r="I98" s="1" t="s">
        <v>698</v>
      </c>
      <c r="J98" s="1">
        <f t="shared" si="0"/>
        <v>1</v>
      </c>
      <c r="L98" s="1" t="s">
        <v>722</v>
      </c>
      <c r="M98" s="7">
        <v>7</v>
      </c>
      <c r="N98" s="5" t="s">
        <v>31</v>
      </c>
      <c r="O98" s="3" t="s">
        <v>32</v>
      </c>
      <c r="P98" s="3" t="s">
        <v>14</v>
      </c>
      <c r="Q98" s="3">
        <v>1</v>
      </c>
      <c r="R98" s="43">
        <f>VLOOKUP('32'!O98,Malzemeler!C:D,2,0)</f>
        <v>675.52</v>
      </c>
      <c r="S98" s="43">
        <f t="shared" si="6"/>
        <v>675.52</v>
      </c>
    </row>
    <row r="99" spans="1:19" x14ac:dyDescent="0.35">
      <c r="A99" s="100"/>
      <c r="B99" s="1">
        <v>32</v>
      </c>
      <c r="C99" s="1" t="s">
        <v>698</v>
      </c>
      <c r="D99" s="1" t="s">
        <v>698</v>
      </c>
      <c r="E99" s="1" t="s">
        <v>698</v>
      </c>
      <c r="F99" s="1" t="s">
        <v>698</v>
      </c>
      <c r="G99" s="1" t="s">
        <v>698</v>
      </c>
      <c r="H99" s="1" t="s">
        <v>698</v>
      </c>
      <c r="I99" s="1" t="s">
        <v>698</v>
      </c>
      <c r="J99" s="1">
        <f t="shared" si="0"/>
        <v>1</v>
      </c>
      <c r="L99" s="1" t="s">
        <v>722</v>
      </c>
      <c r="M99" s="7">
        <v>8</v>
      </c>
      <c r="N99" s="5" t="s">
        <v>33</v>
      </c>
      <c r="O99" s="3" t="s">
        <v>34</v>
      </c>
      <c r="P99" s="3" t="s">
        <v>14</v>
      </c>
      <c r="Q99" s="3">
        <v>1</v>
      </c>
      <c r="R99" s="43">
        <f>VLOOKUP('32'!O99,Malzemeler!C:D,2,0)</f>
        <v>23.17</v>
      </c>
      <c r="S99" s="43">
        <f t="shared" si="6"/>
        <v>23.17</v>
      </c>
    </row>
    <row r="100" spans="1:19" x14ac:dyDescent="0.35">
      <c r="A100" s="100"/>
      <c r="B100" s="1">
        <v>32</v>
      </c>
      <c r="C100" s="1" t="s">
        <v>698</v>
      </c>
      <c r="D100" s="1" t="s">
        <v>698</v>
      </c>
      <c r="E100" s="1" t="s">
        <v>698</v>
      </c>
      <c r="F100" s="1" t="s">
        <v>698</v>
      </c>
      <c r="G100" s="1" t="s">
        <v>698</v>
      </c>
      <c r="H100" s="1" t="s">
        <v>698</v>
      </c>
      <c r="I100" s="1" t="s">
        <v>698</v>
      </c>
      <c r="J100" s="1">
        <f t="shared" si="0"/>
        <v>1</v>
      </c>
      <c r="L100" s="1" t="s">
        <v>722</v>
      </c>
      <c r="M100" s="7">
        <v>9</v>
      </c>
      <c r="N100" s="1" t="s">
        <v>35</v>
      </c>
      <c r="O100" s="3" t="s">
        <v>36</v>
      </c>
      <c r="P100" s="3" t="s">
        <v>14</v>
      </c>
      <c r="Q100" s="3">
        <v>1</v>
      </c>
      <c r="R100" s="43">
        <f>VLOOKUP('32'!O100,Malzemeler!C:D,2,0)</f>
        <v>130.16</v>
      </c>
      <c r="S100" s="43">
        <f t="shared" si="6"/>
        <v>130.16</v>
      </c>
    </row>
    <row r="101" spans="1:19" x14ac:dyDescent="0.35">
      <c r="A101" s="100"/>
      <c r="B101" s="1">
        <v>32</v>
      </c>
      <c r="C101" s="1" t="s">
        <v>698</v>
      </c>
      <c r="D101" s="1" t="s">
        <v>698</v>
      </c>
      <c r="E101" s="1" t="s">
        <v>698</v>
      </c>
      <c r="F101" s="1" t="s">
        <v>698</v>
      </c>
      <c r="G101" s="1" t="s">
        <v>698</v>
      </c>
      <c r="H101" s="1" t="s">
        <v>698</v>
      </c>
      <c r="I101" s="1" t="s">
        <v>698</v>
      </c>
      <c r="J101" s="1">
        <f t="shared" si="0"/>
        <v>1</v>
      </c>
      <c r="L101" s="1" t="s">
        <v>722</v>
      </c>
      <c r="M101" s="7">
        <v>10</v>
      </c>
      <c r="N101" s="5" t="s">
        <v>37</v>
      </c>
      <c r="O101" s="3" t="s">
        <v>38</v>
      </c>
      <c r="P101" s="3" t="s">
        <v>14</v>
      </c>
      <c r="Q101" s="3">
        <v>1</v>
      </c>
      <c r="R101" s="43">
        <f>VLOOKUP('32'!O101,Malzemeler!C:D,2,0)</f>
        <v>130.16</v>
      </c>
      <c r="S101" s="43">
        <f t="shared" si="6"/>
        <v>130.16</v>
      </c>
    </row>
    <row r="102" spans="1:19" x14ac:dyDescent="0.35">
      <c r="A102" s="100"/>
      <c r="B102" s="1">
        <v>32</v>
      </c>
      <c r="C102" s="1" t="s">
        <v>698</v>
      </c>
      <c r="D102" s="1" t="s">
        <v>698</v>
      </c>
      <c r="E102" s="1" t="s">
        <v>698</v>
      </c>
      <c r="F102" s="1" t="s">
        <v>698</v>
      </c>
      <c r="G102" s="1" t="s">
        <v>698</v>
      </c>
      <c r="H102" s="1" t="s">
        <v>698</v>
      </c>
      <c r="I102" s="1" t="s">
        <v>698</v>
      </c>
      <c r="J102" s="1">
        <f t="shared" si="0"/>
        <v>1</v>
      </c>
      <c r="L102" s="1" t="s">
        <v>722</v>
      </c>
      <c r="M102" s="7">
        <v>11</v>
      </c>
      <c r="N102" s="5" t="s">
        <v>39</v>
      </c>
      <c r="O102" s="3" t="s">
        <v>40</v>
      </c>
      <c r="P102" s="3" t="s">
        <v>14</v>
      </c>
      <c r="Q102" s="3">
        <v>2</v>
      </c>
      <c r="R102" s="43">
        <f>VLOOKUP('32'!O102,Malzemeler!C:D,2,0)</f>
        <v>4.7300000000000004</v>
      </c>
      <c r="S102" s="43">
        <f t="shared" si="6"/>
        <v>9.4600000000000009</v>
      </c>
    </row>
    <row r="103" spans="1:19" x14ac:dyDescent="0.35">
      <c r="A103" s="100"/>
      <c r="B103" s="1">
        <v>32</v>
      </c>
      <c r="C103" s="1" t="s">
        <v>698</v>
      </c>
      <c r="D103" s="1" t="s">
        <v>698</v>
      </c>
      <c r="E103" s="1" t="s">
        <v>698</v>
      </c>
      <c r="F103" s="1" t="s">
        <v>698</v>
      </c>
      <c r="G103" s="1" t="s">
        <v>698</v>
      </c>
      <c r="H103" s="1" t="s">
        <v>698</v>
      </c>
      <c r="I103" s="1" t="s">
        <v>698</v>
      </c>
      <c r="J103" s="1">
        <f t="shared" si="0"/>
        <v>1</v>
      </c>
      <c r="L103" s="1" t="s">
        <v>722</v>
      </c>
      <c r="M103" s="7">
        <v>12</v>
      </c>
      <c r="N103" s="5" t="s">
        <v>41</v>
      </c>
      <c r="O103" s="3" t="s">
        <v>42</v>
      </c>
      <c r="P103" s="3" t="s">
        <v>14</v>
      </c>
      <c r="Q103" s="3">
        <v>2</v>
      </c>
      <c r="R103" s="43">
        <f>VLOOKUP('32'!O103,Malzemeler!C:D,2,0)</f>
        <v>155.05000000000001</v>
      </c>
      <c r="S103" s="43">
        <f t="shared" si="6"/>
        <v>310.10000000000002</v>
      </c>
    </row>
    <row r="104" spans="1:19" x14ac:dyDescent="0.35">
      <c r="A104" s="100"/>
      <c r="B104" s="1">
        <v>32</v>
      </c>
      <c r="C104" s="1" t="s">
        <v>698</v>
      </c>
      <c r="D104" s="1" t="s">
        <v>698</v>
      </c>
      <c r="E104" s="1" t="s">
        <v>698</v>
      </c>
      <c r="F104" s="1" t="s">
        <v>698</v>
      </c>
      <c r="G104" s="1" t="s">
        <v>698</v>
      </c>
      <c r="H104" s="1" t="s">
        <v>698</v>
      </c>
      <c r="I104" s="1" t="s">
        <v>698</v>
      </c>
      <c r="J104" s="1">
        <f t="shared" si="0"/>
        <v>1</v>
      </c>
      <c r="L104" s="1" t="s">
        <v>722</v>
      </c>
      <c r="M104" s="7">
        <v>13</v>
      </c>
      <c r="N104" s="5" t="s">
        <v>43</v>
      </c>
      <c r="O104" s="3" t="s">
        <v>44</v>
      </c>
      <c r="P104" s="3" t="s">
        <v>14</v>
      </c>
      <c r="Q104" s="3">
        <v>1</v>
      </c>
      <c r="R104" s="43">
        <f>VLOOKUP('32'!O104,Malzemeler!C:D,2,0)</f>
        <v>238.61</v>
      </c>
      <c r="S104" s="43">
        <f t="shared" si="6"/>
        <v>238.61</v>
      </c>
    </row>
    <row r="105" spans="1:19" x14ac:dyDescent="0.35">
      <c r="A105" s="100"/>
      <c r="B105" s="1">
        <v>32</v>
      </c>
      <c r="C105" s="1" t="s">
        <v>698</v>
      </c>
      <c r="D105" s="1" t="s">
        <v>698</v>
      </c>
      <c r="E105" s="1" t="s">
        <v>698</v>
      </c>
      <c r="F105" s="1" t="s">
        <v>698</v>
      </c>
      <c r="G105" s="1" t="s">
        <v>698</v>
      </c>
      <c r="H105" s="1" t="s">
        <v>698</v>
      </c>
      <c r="I105" s="1" t="s">
        <v>698</v>
      </c>
      <c r="J105" s="1">
        <f t="shared" si="0"/>
        <v>1</v>
      </c>
      <c r="L105" s="1" t="s">
        <v>722</v>
      </c>
      <c r="M105" s="7">
        <v>14</v>
      </c>
      <c r="N105" s="5" t="s">
        <v>45</v>
      </c>
      <c r="O105" s="3" t="s">
        <v>46</v>
      </c>
      <c r="P105" s="3" t="s">
        <v>14</v>
      </c>
      <c r="Q105" s="3">
        <v>1</v>
      </c>
      <c r="R105" s="43">
        <f>VLOOKUP('32'!O105,Malzemeler!C:D,2,0)</f>
        <v>10.84</v>
      </c>
      <c r="S105" s="43">
        <f t="shared" si="6"/>
        <v>10.84</v>
      </c>
    </row>
    <row r="106" spans="1:19" x14ac:dyDescent="0.35">
      <c r="A106" s="100"/>
      <c r="B106" s="1">
        <v>32</v>
      </c>
      <c r="C106" s="1" t="s">
        <v>698</v>
      </c>
      <c r="D106" s="1" t="s">
        <v>698</v>
      </c>
      <c r="E106" s="1" t="s">
        <v>698</v>
      </c>
      <c r="F106" s="1" t="s">
        <v>698</v>
      </c>
      <c r="G106" s="1" t="s">
        <v>698</v>
      </c>
      <c r="H106" s="1" t="s">
        <v>698</v>
      </c>
      <c r="I106" s="1" t="s">
        <v>698</v>
      </c>
      <c r="J106" s="1">
        <f t="shared" si="0"/>
        <v>1</v>
      </c>
      <c r="L106" s="1" t="s">
        <v>722</v>
      </c>
      <c r="M106" s="7">
        <v>15</v>
      </c>
      <c r="N106" s="5" t="s">
        <v>47</v>
      </c>
      <c r="O106" s="3" t="s">
        <v>48</v>
      </c>
      <c r="P106" s="3" t="s">
        <v>14</v>
      </c>
      <c r="Q106" s="3">
        <v>1</v>
      </c>
      <c r="R106" s="43">
        <f>VLOOKUP('32'!O106,Malzemeler!C:D,2,0)</f>
        <v>22.83</v>
      </c>
      <c r="S106" s="43">
        <f t="shared" si="6"/>
        <v>22.83</v>
      </c>
    </row>
    <row r="107" spans="1:19" x14ac:dyDescent="0.35">
      <c r="A107" s="100"/>
      <c r="B107" s="1">
        <v>32</v>
      </c>
      <c r="C107" s="1" t="s">
        <v>698</v>
      </c>
      <c r="D107" s="1" t="s">
        <v>698</v>
      </c>
      <c r="E107" s="1" t="s">
        <v>698</v>
      </c>
      <c r="F107" s="1" t="s">
        <v>698</v>
      </c>
      <c r="G107" s="1" t="s">
        <v>698</v>
      </c>
      <c r="H107" s="1" t="s">
        <v>698</v>
      </c>
      <c r="I107" s="1" t="s">
        <v>698</v>
      </c>
      <c r="J107" s="1">
        <f t="shared" si="0"/>
        <v>1</v>
      </c>
      <c r="L107" s="1" t="s">
        <v>722</v>
      </c>
      <c r="M107" s="7">
        <v>16</v>
      </c>
      <c r="N107" s="5" t="s">
        <v>593</v>
      </c>
      <c r="O107" s="3" t="s">
        <v>592</v>
      </c>
      <c r="P107" s="3" t="s">
        <v>14</v>
      </c>
      <c r="Q107" s="3">
        <v>1</v>
      </c>
      <c r="R107" s="43">
        <f>VLOOKUP('32'!O107,Malzemeler!C:D,2,0)</f>
        <v>0</v>
      </c>
      <c r="S107" s="43">
        <f t="shared" si="6"/>
        <v>0</v>
      </c>
    </row>
    <row r="108" spans="1:19" x14ac:dyDescent="0.35">
      <c r="A108" s="100"/>
      <c r="B108" s="1">
        <v>32</v>
      </c>
      <c r="C108" s="1" t="s">
        <v>698</v>
      </c>
      <c r="D108" s="1" t="s">
        <v>698</v>
      </c>
      <c r="E108" s="1" t="s">
        <v>698</v>
      </c>
      <c r="F108" s="1" t="s">
        <v>698</v>
      </c>
      <c r="G108" s="1" t="s">
        <v>698</v>
      </c>
      <c r="H108" s="1" t="s">
        <v>698</v>
      </c>
      <c r="I108" s="1" t="s">
        <v>698</v>
      </c>
      <c r="J108" s="1">
        <f t="shared" si="0"/>
        <v>1</v>
      </c>
      <c r="L108" s="1" t="s">
        <v>722</v>
      </c>
      <c r="M108" s="7">
        <v>17</v>
      </c>
      <c r="N108" s="5" t="s">
        <v>594</v>
      </c>
      <c r="O108" s="3" t="s">
        <v>595</v>
      </c>
      <c r="P108" s="3" t="s">
        <v>14</v>
      </c>
      <c r="Q108" s="3">
        <v>1</v>
      </c>
      <c r="R108" s="43">
        <f>VLOOKUP('32'!O108,Malzemeler!C:D,2,0)</f>
        <v>0</v>
      </c>
      <c r="S108" s="43">
        <f t="shared" si="6"/>
        <v>0</v>
      </c>
    </row>
    <row r="109" spans="1:19" x14ac:dyDescent="0.35">
      <c r="A109" s="100"/>
      <c r="B109" s="1">
        <v>32</v>
      </c>
      <c r="C109" s="1" t="s">
        <v>698</v>
      </c>
      <c r="D109" s="1" t="s">
        <v>698</v>
      </c>
      <c r="E109" s="1" t="s">
        <v>698</v>
      </c>
      <c r="F109" s="1" t="s">
        <v>698</v>
      </c>
      <c r="G109" s="1" t="s">
        <v>698</v>
      </c>
      <c r="H109" s="1" t="s">
        <v>698</v>
      </c>
      <c r="I109" s="1" t="s">
        <v>698</v>
      </c>
      <c r="J109" s="1">
        <f t="shared" si="0"/>
        <v>1</v>
      </c>
      <c r="L109" s="1" t="s">
        <v>722</v>
      </c>
      <c r="M109" s="7">
        <v>18</v>
      </c>
      <c r="N109" s="5" t="s">
        <v>632</v>
      </c>
      <c r="O109" s="3" t="s">
        <v>650</v>
      </c>
      <c r="P109" s="3" t="s">
        <v>14</v>
      </c>
      <c r="Q109" s="3">
        <v>1</v>
      </c>
      <c r="R109" s="43">
        <f>VLOOKUP('32'!O109,Malzemeler!C:D,2,0)</f>
        <v>0</v>
      </c>
      <c r="S109" s="43">
        <f t="shared" si="6"/>
        <v>0</v>
      </c>
    </row>
    <row r="110" spans="1:19" x14ac:dyDescent="0.35">
      <c r="A110" s="100"/>
      <c r="B110" s="1">
        <v>32</v>
      </c>
      <c r="C110" s="1" t="s">
        <v>698</v>
      </c>
      <c r="D110" s="1" t="s">
        <v>698</v>
      </c>
      <c r="E110" s="1" t="s">
        <v>698</v>
      </c>
      <c r="F110" s="1" t="s">
        <v>698</v>
      </c>
      <c r="G110" s="1" t="s">
        <v>698</v>
      </c>
      <c r="H110" s="1" t="s">
        <v>698</v>
      </c>
      <c r="I110" s="1" t="s">
        <v>698</v>
      </c>
      <c r="J110" s="1">
        <f t="shared" si="0"/>
        <v>1</v>
      </c>
      <c r="L110" s="1" t="s">
        <v>722</v>
      </c>
      <c r="M110" s="7">
        <v>19</v>
      </c>
      <c r="N110" s="5" t="s">
        <v>598</v>
      </c>
      <c r="O110" s="3" t="s">
        <v>597</v>
      </c>
      <c r="P110" s="3" t="s">
        <v>14</v>
      </c>
      <c r="Q110" s="3">
        <v>1</v>
      </c>
      <c r="R110" s="43">
        <f>VLOOKUP('32'!O110,Malzemeler!C:D,2,0)</f>
        <v>0</v>
      </c>
      <c r="S110" s="43">
        <f t="shared" si="6"/>
        <v>0</v>
      </c>
    </row>
    <row r="111" spans="1:19" x14ac:dyDescent="0.35">
      <c r="A111" s="100"/>
      <c r="B111" s="1">
        <v>32</v>
      </c>
      <c r="C111" s="1" t="s">
        <v>698</v>
      </c>
      <c r="D111" s="1" t="s">
        <v>698</v>
      </c>
      <c r="E111" s="1" t="s">
        <v>698</v>
      </c>
      <c r="F111" s="1" t="s">
        <v>698</v>
      </c>
      <c r="G111" s="1" t="s">
        <v>698</v>
      </c>
      <c r="H111" s="1" t="s">
        <v>698</v>
      </c>
      <c r="I111" s="1" t="s">
        <v>698</v>
      </c>
      <c r="J111" s="1">
        <f t="shared" si="0"/>
        <v>1</v>
      </c>
      <c r="L111" s="1" t="s">
        <v>722</v>
      </c>
      <c r="M111" s="7">
        <v>20</v>
      </c>
      <c r="N111" s="5" t="s">
        <v>631</v>
      </c>
      <c r="O111" s="3" t="s">
        <v>630</v>
      </c>
      <c r="P111" s="3" t="s">
        <v>14</v>
      </c>
      <c r="Q111" s="3">
        <v>1</v>
      </c>
      <c r="R111" s="43">
        <f>VLOOKUP('32'!O111,Malzemeler!C:D,2,0)</f>
        <v>0</v>
      </c>
      <c r="S111" s="43">
        <f t="shared" si="6"/>
        <v>0</v>
      </c>
    </row>
    <row r="112" spans="1:19" x14ac:dyDescent="0.35">
      <c r="A112" s="100"/>
      <c r="B112" s="1">
        <v>32</v>
      </c>
      <c r="C112" s="1" t="s">
        <v>698</v>
      </c>
      <c r="D112" s="1" t="s">
        <v>698</v>
      </c>
      <c r="E112" s="1" t="s">
        <v>698</v>
      </c>
      <c r="F112" s="1" t="s">
        <v>698</v>
      </c>
      <c r="G112" s="1" t="s">
        <v>698</v>
      </c>
      <c r="H112" s="1" t="s">
        <v>698</v>
      </c>
      <c r="I112" s="1" t="s">
        <v>698</v>
      </c>
      <c r="J112" s="1">
        <f t="shared" si="0"/>
        <v>1</v>
      </c>
      <c r="L112" s="1" t="s">
        <v>722</v>
      </c>
      <c r="M112" s="7">
        <v>21</v>
      </c>
      <c r="N112" s="5" t="s">
        <v>678</v>
      </c>
      <c r="O112" s="3" t="s">
        <v>679</v>
      </c>
      <c r="P112" s="3" t="s">
        <v>14</v>
      </c>
      <c r="Q112" s="3">
        <v>1</v>
      </c>
      <c r="R112" s="43">
        <f>VLOOKUP('32'!O112,Malzemeler!C:D,2,0)</f>
        <v>0</v>
      </c>
      <c r="S112" s="43">
        <f t="shared" si="6"/>
        <v>0</v>
      </c>
    </row>
    <row r="113" spans="1:19" x14ac:dyDescent="0.35">
      <c r="A113" s="100"/>
      <c r="B113" s="1">
        <v>32</v>
      </c>
      <c r="C113" s="1" t="s">
        <v>698</v>
      </c>
      <c r="D113" s="1" t="s">
        <v>698</v>
      </c>
      <c r="E113" s="1" t="s">
        <v>698</v>
      </c>
      <c r="F113" s="1" t="s">
        <v>698</v>
      </c>
      <c r="G113" s="1" t="s">
        <v>698</v>
      </c>
      <c r="H113" s="1" t="s">
        <v>698</v>
      </c>
      <c r="I113" s="1" t="s">
        <v>698</v>
      </c>
      <c r="J113" s="1">
        <f t="shared" si="0"/>
        <v>1</v>
      </c>
      <c r="L113" s="1" t="s">
        <v>722</v>
      </c>
      <c r="M113" s="7">
        <v>22</v>
      </c>
      <c r="N113" s="5" t="s">
        <v>147</v>
      </c>
      <c r="O113" s="3" t="s">
        <v>263</v>
      </c>
      <c r="P113" s="3" t="s">
        <v>14</v>
      </c>
      <c r="Q113" s="3">
        <v>2</v>
      </c>
      <c r="R113" s="43">
        <f>VLOOKUP('32'!O113,Malzemeler!C:D,2,0)</f>
        <v>20</v>
      </c>
      <c r="S113" s="43">
        <f t="shared" si="6"/>
        <v>40</v>
      </c>
    </row>
    <row r="114" spans="1:19" x14ac:dyDescent="0.35">
      <c r="A114" s="100"/>
      <c r="B114" s="1">
        <v>32</v>
      </c>
      <c r="C114" s="1" t="s">
        <v>698</v>
      </c>
      <c r="D114" s="1" t="s">
        <v>698</v>
      </c>
      <c r="E114" s="1" t="s">
        <v>698</v>
      </c>
      <c r="F114" s="1" t="s">
        <v>698</v>
      </c>
      <c r="G114" s="1" t="s">
        <v>698</v>
      </c>
      <c r="H114" s="1" t="s">
        <v>698</v>
      </c>
      <c r="I114" s="1" t="s">
        <v>698</v>
      </c>
      <c r="J114" s="1">
        <f t="shared" si="0"/>
        <v>1</v>
      </c>
      <c r="L114" s="1" t="s">
        <v>722</v>
      </c>
      <c r="M114" s="7">
        <v>23</v>
      </c>
      <c r="N114" s="5" t="s">
        <v>219</v>
      </c>
      <c r="O114" s="3" t="s">
        <v>220</v>
      </c>
      <c r="P114" s="3" t="s">
        <v>14</v>
      </c>
      <c r="Q114" s="3">
        <v>1</v>
      </c>
      <c r="R114" s="43">
        <f>VLOOKUP('32'!O114,Malzemeler!C:D,2,0)</f>
        <v>85.4</v>
      </c>
      <c r="S114" s="43">
        <f t="shared" si="6"/>
        <v>85.4</v>
      </c>
    </row>
    <row r="115" spans="1:19" x14ac:dyDescent="0.35">
      <c r="A115" s="100"/>
      <c r="B115" s="1">
        <v>32</v>
      </c>
      <c r="C115" s="1" t="s">
        <v>698</v>
      </c>
      <c r="D115" s="1" t="s">
        <v>698</v>
      </c>
      <c r="E115" s="1" t="s">
        <v>698</v>
      </c>
      <c r="F115" s="1" t="s">
        <v>698</v>
      </c>
      <c r="G115" s="1" t="s">
        <v>698</v>
      </c>
      <c r="H115" s="1" t="s">
        <v>698</v>
      </c>
      <c r="I115" s="1" t="s">
        <v>698</v>
      </c>
      <c r="J115" s="1">
        <f t="shared" si="0"/>
        <v>1</v>
      </c>
      <c r="L115" s="1" t="s">
        <v>722</v>
      </c>
      <c r="M115" s="7">
        <v>24</v>
      </c>
      <c r="N115" s="5" t="s">
        <v>53</v>
      </c>
      <c r="O115" s="3" t="s">
        <v>56</v>
      </c>
      <c r="P115" s="3" t="s">
        <v>14</v>
      </c>
      <c r="Q115" s="3">
        <v>1</v>
      </c>
      <c r="R115" s="43">
        <f>VLOOKUP('32'!O115,Malzemeler!C:D,2,0)</f>
        <v>65.58</v>
      </c>
      <c r="S115" s="43">
        <f t="shared" si="6"/>
        <v>65.58</v>
      </c>
    </row>
    <row r="116" spans="1:19" x14ac:dyDescent="0.35">
      <c r="A116" s="100"/>
      <c r="B116" s="1">
        <v>32</v>
      </c>
      <c r="C116" s="1" t="s">
        <v>698</v>
      </c>
      <c r="D116" s="1" t="s">
        <v>698</v>
      </c>
      <c r="E116" s="1" t="s">
        <v>698</v>
      </c>
      <c r="F116" s="1" t="s">
        <v>698</v>
      </c>
      <c r="G116" s="1" t="s">
        <v>698</v>
      </c>
      <c r="H116" s="1" t="s">
        <v>698</v>
      </c>
      <c r="I116" s="1" t="s">
        <v>698</v>
      </c>
      <c r="J116" s="1">
        <f t="shared" si="0"/>
        <v>1</v>
      </c>
      <c r="L116" s="1" t="s">
        <v>722</v>
      </c>
      <c r="M116" s="7">
        <v>25</v>
      </c>
      <c r="N116" s="5" t="s">
        <v>589</v>
      </c>
      <c r="O116" s="3" t="s">
        <v>596</v>
      </c>
      <c r="P116" s="3" t="s">
        <v>14</v>
      </c>
      <c r="Q116" s="3">
        <v>3</v>
      </c>
      <c r="R116" s="43">
        <f>VLOOKUP('32'!O116,Malzemeler!C:D,2,0)</f>
        <v>59.21</v>
      </c>
      <c r="S116" s="43">
        <f t="shared" si="6"/>
        <v>177.63</v>
      </c>
    </row>
    <row r="117" spans="1:19" x14ac:dyDescent="0.35">
      <c r="A117" s="100"/>
      <c r="B117" s="1">
        <v>32</v>
      </c>
      <c r="C117" s="1" t="s">
        <v>698</v>
      </c>
      <c r="D117" s="1" t="s">
        <v>698</v>
      </c>
      <c r="E117" s="1" t="s">
        <v>698</v>
      </c>
      <c r="F117" s="1" t="s">
        <v>698</v>
      </c>
      <c r="G117" s="1" t="s">
        <v>698</v>
      </c>
      <c r="H117" s="1" t="s">
        <v>698</v>
      </c>
      <c r="I117" s="1" t="s">
        <v>698</v>
      </c>
      <c r="J117" s="1">
        <f t="shared" si="0"/>
        <v>1</v>
      </c>
      <c r="L117" s="1" t="s">
        <v>722</v>
      </c>
      <c r="M117" s="7">
        <v>26</v>
      </c>
      <c r="N117" s="5" t="s">
        <v>54</v>
      </c>
      <c r="O117" s="3" t="s">
        <v>57</v>
      </c>
      <c r="P117" s="3" t="s">
        <v>14</v>
      </c>
      <c r="Q117" s="3">
        <v>1</v>
      </c>
      <c r="R117" s="43">
        <f>VLOOKUP('32'!O117,Malzemeler!C:D,2,0)</f>
        <v>77.55</v>
      </c>
      <c r="S117" s="43">
        <f t="shared" si="6"/>
        <v>77.55</v>
      </c>
    </row>
    <row r="118" spans="1:19" x14ac:dyDescent="0.35">
      <c r="A118" s="100"/>
      <c r="B118" s="1">
        <v>32</v>
      </c>
      <c r="C118" s="1" t="s">
        <v>698</v>
      </c>
      <c r="D118" s="1" t="s">
        <v>698</v>
      </c>
      <c r="E118" s="1" t="s">
        <v>698</v>
      </c>
      <c r="F118" s="1" t="s">
        <v>698</v>
      </c>
      <c r="G118" s="1" t="s">
        <v>698</v>
      </c>
      <c r="H118" s="1" t="s">
        <v>698</v>
      </c>
      <c r="I118" s="1" t="s">
        <v>698</v>
      </c>
      <c r="J118" s="1">
        <f t="shared" si="0"/>
        <v>1</v>
      </c>
      <c r="L118" s="1" t="s">
        <v>722</v>
      </c>
      <c r="M118" s="7">
        <v>27</v>
      </c>
      <c r="N118" s="5" t="s">
        <v>301</v>
      </c>
      <c r="O118" s="3" t="s">
        <v>302</v>
      </c>
      <c r="P118" s="3" t="s">
        <v>14</v>
      </c>
      <c r="Q118" s="3">
        <v>1</v>
      </c>
      <c r="R118" s="43">
        <f>VLOOKUP('32'!O118,Malzemeler!C:D,2,0)</f>
        <v>75.899999999999991</v>
      </c>
      <c r="S118" s="43">
        <f t="shared" si="6"/>
        <v>75.899999999999991</v>
      </c>
    </row>
    <row r="119" spans="1:19" x14ac:dyDescent="0.35">
      <c r="A119" s="100"/>
      <c r="B119" s="1">
        <v>32</v>
      </c>
      <c r="C119" s="1" t="s">
        <v>698</v>
      </c>
      <c r="D119" s="1" t="s">
        <v>698</v>
      </c>
      <c r="E119" s="1" t="s">
        <v>698</v>
      </c>
      <c r="F119" s="1" t="s">
        <v>698</v>
      </c>
      <c r="G119" s="1" t="s">
        <v>698</v>
      </c>
      <c r="H119" s="1" t="s">
        <v>698</v>
      </c>
      <c r="I119" s="1" t="s">
        <v>698</v>
      </c>
      <c r="J119" s="1">
        <f t="shared" ref="J119:J129" si="7">SUBTOTAL(103,B119)</f>
        <v>1</v>
      </c>
      <c r="L119" s="1" t="s">
        <v>722</v>
      </c>
      <c r="M119" s="7">
        <v>28</v>
      </c>
      <c r="N119" s="5" t="s">
        <v>684</v>
      </c>
      <c r="O119" s="3" t="s">
        <v>693</v>
      </c>
      <c r="P119" s="3" t="s">
        <v>14</v>
      </c>
      <c r="Q119" s="3">
        <v>1</v>
      </c>
      <c r="R119" s="43">
        <f>VLOOKUP('32'!O119,Malzemeler!C:D,2,0)</f>
        <v>0</v>
      </c>
      <c r="S119" s="43">
        <f t="shared" si="6"/>
        <v>0</v>
      </c>
    </row>
    <row r="120" spans="1:19" x14ac:dyDescent="0.35">
      <c r="A120" s="100"/>
      <c r="B120" s="1">
        <v>32</v>
      </c>
      <c r="C120" s="1" t="s">
        <v>698</v>
      </c>
      <c r="D120" s="1" t="s">
        <v>698</v>
      </c>
      <c r="E120" s="1" t="s">
        <v>698</v>
      </c>
      <c r="F120" s="1" t="s">
        <v>698</v>
      </c>
      <c r="G120" s="1" t="s">
        <v>698</v>
      </c>
      <c r="H120" s="1" t="s">
        <v>698</v>
      </c>
      <c r="I120" s="1" t="s">
        <v>698</v>
      </c>
      <c r="J120" s="1">
        <f t="shared" si="7"/>
        <v>1</v>
      </c>
      <c r="L120" s="1" t="s">
        <v>722</v>
      </c>
      <c r="M120" s="7">
        <v>29</v>
      </c>
      <c r="N120" s="1" t="s">
        <v>626</v>
      </c>
      <c r="O120" s="3" t="s">
        <v>627</v>
      </c>
      <c r="P120" s="3" t="s">
        <v>14</v>
      </c>
      <c r="Q120" s="3">
        <v>1</v>
      </c>
      <c r="R120" s="43">
        <f>VLOOKUP('32'!O120,Malzemeler!C:D,2,0)</f>
        <v>0</v>
      </c>
      <c r="S120" s="43">
        <f t="shared" si="6"/>
        <v>0</v>
      </c>
    </row>
    <row r="121" spans="1:19" x14ac:dyDescent="0.35">
      <c r="A121" s="100"/>
      <c r="B121" s="1">
        <v>32</v>
      </c>
      <c r="C121" s="1" t="s">
        <v>698</v>
      </c>
      <c r="D121" s="1" t="s">
        <v>698</v>
      </c>
      <c r="E121" s="1" t="s">
        <v>698</v>
      </c>
      <c r="F121" s="1" t="s">
        <v>698</v>
      </c>
      <c r="G121" s="1" t="s">
        <v>698</v>
      </c>
      <c r="H121" s="1" t="s">
        <v>698</v>
      </c>
      <c r="I121" s="1" t="s">
        <v>698</v>
      </c>
      <c r="J121" s="1">
        <f t="shared" si="7"/>
        <v>1</v>
      </c>
      <c r="L121" s="1" t="s">
        <v>722</v>
      </c>
      <c r="M121" s="7">
        <v>31</v>
      </c>
      <c r="N121" s="1" t="s">
        <v>730</v>
      </c>
      <c r="O121" s="3" t="s">
        <v>729</v>
      </c>
      <c r="P121" s="3" t="s">
        <v>14</v>
      </c>
      <c r="Q121" s="3">
        <v>39</v>
      </c>
      <c r="R121" s="43">
        <f>VLOOKUP('32'!O121,Malzemeler!C:D,2,0)</f>
        <v>0</v>
      </c>
      <c r="S121" s="43">
        <f t="shared" si="6"/>
        <v>0</v>
      </c>
    </row>
    <row r="122" spans="1:19" x14ac:dyDescent="0.35">
      <c r="A122" s="41"/>
      <c r="B122" s="1">
        <v>32</v>
      </c>
      <c r="C122" s="1" t="s">
        <v>698</v>
      </c>
      <c r="D122" s="1" t="s">
        <v>698</v>
      </c>
      <c r="E122" s="1" t="s">
        <v>698</v>
      </c>
      <c r="F122" s="1" t="s">
        <v>698</v>
      </c>
      <c r="G122" s="1" t="s">
        <v>698</v>
      </c>
      <c r="H122" s="1" t="s">
        <v>698</v>
      </c>
      <c r="I122" s="1" t="s">
        <v>698</v>
      </c>
      <c r="J122" s="1">
        <f t="shared" ref="J122:J124" si="8">SUBTOTAL(103,B122)</f>
        <v>1</v>
      </c>
      <c r="L122" s="1" t="s">
        <v>722</v>
      </c>
      <c r="M122" s="7">
        <v>32</v>
      </c>
      <c r="N122" s="1" t="s">
        <v>750</v>
      </c>
      <c r="O122" s="3" t="s">
        <v>753</v>
      </c>
      <c r="P122" s="3" t="s">
        <v>135</v>
      </c>
      <c r="Q122" s="3">
        <v>25</v>
      </c>
      <c r="R122" s="43">
        <f>VLOOKUP('32'!O122,Malzemeler!C:D,2,0)</f>
        <v>0</v>
      </c>
      <c r="S122" s="43">
        <f t="shared" ref="S122:S124" si="9">+R122*Q122</f>
        <v>0</v>
      </c>
    </row>
    <row r="123" spans="1:19" x14ac:dyDescent="0.35">
      <c r="A123" s="41"/>
      <c r="B123" s="1">
        <v>32</v>
      </c>
      <c r="C123" s="1" t="s">
        <v>698</v>
      </c>
      <c r="D123" s="1" t="s">
        <v>698</v>
      </c>
      <c r="E123" s="1" t="s">
        <v>698</v>
      </c>
      <c r="F123" s="1" t="s">
        <v>698</v>
      </c>
      <c r="G123" s="1" t="s">
        <v>698</v>
      </c>
      <c r="H123" s="1" t="s">
        <v>698</v>
      </c>
      <c r="I123" s="1" t="s">
        <v>698</v>
      </c>
      <c r="J123" s="1">
        <f t="shared" si="8"/>
        <v>1</v>
      </c>
      <c r="L123" s="1" t="s">
        <v>722</v>
      </c>
      <c r="M123" s="7">
        <v>33</v>
      </c>
      <c r="N123" s="1" t="s">
        <v>751</v>
      </c>
      <c r="O123" s="3" t="s">
        <v>754</v>
      </c>
      <c r="P123" s="3" t="s">
        <v>135</v>
      </c>
      <c r="Q123" s="3">
        <v>130</v>
      </c>
      <c r="R123" s="43">
        <f>VLOOKUP('32'!O123,Malzemeler!C:D,2,0)</f>
        <v>0</v>
      </c>
      <c r="S123" s="43">
        <f t="shared" si="9"/>
        <v>0</v>
      </c>
    </row>
    <row r="124" spans="1:19" x14ac:dyDescent="0.35">
      <c r="A124" s="41"/>
      <c r="B124" s="1">
        <v>32</v>
      </c>
      <c r="C124" s="1" t="s">
        <v>698</v>
      </c>
      <c r="D124" s="1" t="s">
        <v>698</v>
      </c>
      <c r="E124" s="1" t="s">
        <v>698</v>
      </c>
      <c r="F124" s="1" t="s">
        <v>698</v>
      </c>
      <c r="G124" s="1" t="s">
        <v>698</v>
      </c>
      <c r="H124" s="1" t="s">
        <v>698</v>
      </c>
      <c r="I124" s="1" t="s">
        <v>698</v>
      </c>
      <c r="J124" s="1">
        <f t="shared" si="8"/>
        <v>1</v>
      </c>
      <c r="L124" s="1" t="s">
        <v>722</v>
      </c>
      <c r="M124" s="7">
        <v>34</v>
      </c>
      <c r="N124" s="1" t="s">
        <v>752</v>
      </c>
      <c r="O124" s="3" t="s">
        <v>755</v>
      </c>
      <c r="P124" s="3" t="s">
        <v>135</v>
      </c>
      <c r="Q124" s="3">
        <v>35</v>
      </c>
      <c r="R124" s="43">
        <f>VLOOKUP('32'!O124,Malzemeler!C:D,2,0)</f>
        <v>0</v>
      </c>
      <c r="S124" s="43">
        <f t="shared" si="9"/>
        <v>0</v>
      </c>
    </row>
    <row r="125" spans="1:19" ht="15" customHeight="1" x14ac:dyDescent="0.35">
      <c r="A125" s="102" t="s">
        <v>719</v>
      </c>
      <c r="B125" s="1">
        <v>32</v>
      </c>
      <c r="C125" s="1" t="s">
        <v>698</v>
      </c>
      <c r="D125" s="1">
        <v>47</v>
      </c>
      <c r="E125" s="1">
        <v>5</v>
      </c>
      <c r="F125" s="1" t="s">
        <v>698</v>
      </c>
      <c r="G125" s="1" t="s">
        <v>698</v>
      </c>
      <c r="H125" s="1" t="s">
        <v>698</v>
      </c>
      <c r="I125" s="1" t="s">
        <v>698</v>
      </c>
      <c r="J125" s="1">
        <f t="shared" si="7"/>
        <v>1</v>
      </c>
      <c r="L125" s="1" t="s">
        <v>719</v>
      </c>
      <c r="M125" s="7">
        <v>1</v>
      </c>
      <c r="N125" s="1" t="s">
        <v>211</v>
      </c>
      <c r="O125" s="3" t="s">
        <v>212</v>
      </c>
      <c r="P125" s="3" t="s">
        <v>14</v>
      </c>
      <c r="Q125" s="3">
        <v>2</v>
      </c>
      <c r="R125" s="43">
        <f>VLOOKUP('32'!O125,Malzemeler!C:D,2,0)</f>
        <v>4.43</v>
      </c>
      <c r="S125" s="43">
        <f t="shared" si="6"/>
        <v>8.86</v>
      </c>
    </row>
    <row r="126" spans="1:19" x14ac:dyDescent="0.35">
      <c r="A126" s="102"/>
      <c r="B126" s="1">
        <v>32</v>
      </c>
      <c r="C126" s="1" t="s">
        <v>698</v>
      </c>
      <c r="D126" s="1">
        <v>47</v>
      </c>
      <c r="E126" s="1">
        <v>5</v>
      </c>
      <c r="F126" s="1" t="s">
        <v>698</v>
      </c>
      <c r="G126" s="1" t="s">
        <v>698</v>
      </c>
      <c r="H126" s="1" t="s">
        <v>698</v>
      </c>
      <c r="I126" s="1" t="s">
        <v>698</v>
      </c>
      <c r="J126" s="1">
        <f t="shared" si="7"/>
        <v>1</v>
      </c>
      <c r="L126" s="1" t="s">
        <v>719</v>
      </c>
      <c r="M126" s="7">
        <v>2</v>
      </c>
      <c r="N126" s="1" t="s">
        <v>213</v>
      </c>
      <c r="O126" s="3" t="s">
        <v>214</v>
      </c>
      <c r="P126" s="3" t="s">
        <v>14</v>
      </c>
      <c r="Q126" s="3">
        <v>3</v>
      </c>
      <c r="R126" s="43">
        <f>VLOOKUP('32'!O126,Malzemeler!C:D,2,0)</f>
        <v>3.04</v>
      </c>
      <c r="S126" s="43">
        <f t="shared" si="6"/>
        <v>9.120000000000001</v>
      </c>
    </row>
    <row r="127" spans="1:19" x14ac:dyDescent="0.35">
      <c r="A127" s="102"/>
      <c r="B127" s="1">
        <v>32</v>
      </c>
      <c r="C127" s="1" t="s">
        <v>698</v>
      </c>
      <c r="D127" s="1">
        <v>47</v>
      </c>
      <c r="E127" s="1">
        <v>5</v>
      </c>
      <c r="F127" s="1" t="s">
        <v>698</v>
      </c>
      <c r="G127" s="1" t="s">
        <v>698</v>
      </c>
      <c r="H127" s="1" t="s">
        <v>698</v>
      </c>
      <c r="I127" s="1" t="s">
        <v>698</v>
      </c>
      <c r="J127" s="1">
        <f t="shared" si="7"/>
        <v>1</v>
      </c>
      <c r="L127" s="1" t="s">
        <v>719</v>
      </c>
      <c r="M127" s="7">
        <v>3</v>
      </c>
      <c r="N127" s="1" t="s">
        <v>297</v>
      </c>
      <c r="O127" s="3" t="s">
        <v>298</v>
      </c>
      <c r="P127" s="3" t="s">
        <v>14</v>
      </c>
      <c r="Q127" s="3">
        <v>1</v>
      </c>
      <c r="R127" s="43">
        <f>VLOOKUP('32'!O127,Malzemeler!C:D,2,0)</f>
        <v>2</v>
      </c>
      <c r="S127" s="43">
        <f t="shared" si="6"/>
        <v>2</v>
      </c>
    </row>
    <row r="128" spans="1:19" x14ac:dyDescent="0.35">
      <c r="A128" s="102"/>
      <c r="B128" s="1">
        <v>32</v>
      </c>
      <c r="C128" s="1" t="s">
        <v>698</v>
      </c>
      <c r="D128" s="1">
        <v>47</v>
      </c>
      <c r="E128" s="1">
        <v>5</v>
      </c>
      <c r="F128" s="1" t="s">
        <v>698</v>
      </c>
      <c r="G128" s="1" t="s">
        <v>698</v>
      </c>
      <c r="H128" s="1" t="s">
        <v>698</v>
      </c>
      <c r="I128" s="1" t="s">
        <v>698</v>
      </c>
      <c r="J128" s="1">
        <f t="shared" si="7"/>
        <v>1</v>
      </c>
      <c r="L128" s="1" t="s">
        <v>719</v>
      </c>
      <c r="M128" s="7">
        <v>4</v>
      </c>
      <c r="N128" s="1" t="s">
        <v>459</v>
      </c>
      <c r="O128" s="3" t="s">
        <v>460</v>
      </c>
      <c r="P128" s="3" t="s">
        <v>14</v>
      </c>
      <c r="Q128" s="3">
        <v>2</v>
      </c>
      <c r="R128" s="43">
        <f>VLOOKUP('32'!O128,Malzemeler!C:D,2,0)</f>
        <v>4.55</v>
      </c>
      <c r="S128" s="43">
        <f t="shared" si="6"/>
        <v>9.1</v>
      </c>
    </row>
    <row r="129" spans="1:19" x14ac:dyDescent="0.35">
      <c r="A129" s="102"/>
      <c r="B129" s="1">
        <v>32</v>
      </c>
      <c r="C129" s="1" t="s">
        <v>698</v>
      </c>
      <c r="D129" s="1">
        <v>47</v>
      </c>
      <c r="E129" s="1">
        <v>5</v>
      </c>
      <c r="F129" s="1" t="s">
        <v>698</v>
      </c>
      <c r="G129" s="1" t="s">
        <v>698</v>
      </c>
      <c r="H129" s="1" t="s">
        <v>698</v>
      </c>
      <c r="I129" s="1" t="s">
        <v>698</v>
      </c>
      <c r="J129" s="1">
        <f t="shared" si="7"/>
        <v>1</v>
      </c>
      <c r="L129" s="1" t="s">
        <v>719</v>
      </c>
      <c r="M129" s="7">
        <v>5</v>
      </c>
      <c r="N129" s="1" t="s">
        <v>461</v>
      </c>
      <c r="O129" s="3" t="s">
        <v>462</v>
      </c>
      <c r="P129" s="3" t="s">
        <v>14</v>
      </c>
      <c r="Q129" s="3">
        <v>3</v>
      </c>
      <c r="R129" s="43">
        <f>VLOOKUP('32'!O129,Malzemeler!C:D,2,0)</f>
        <v>2.96</v>
      </c>
      <c r="S129" s="43">
        <f t="shared" si="6"/>
        <v>8.879999999999999</v>
      </c>
    </row>
    <row r="130" spans="1:19" x14ac:dyDescent="0.35">
      <c r="A130" s="102"/>
      <c r="B130" s="1">
        <v>32</v>
      </c>
      <c r="C130" s="1" t="s">
        <v>698</v>
      </c>
      <c r="D130" s="1">
        <v>47</v>
      </c>
      <c r="E130" s="1">
        <v>5</v>
      </c>
      <c r="F130" s="1" t="s">
        <v>698</v>
      </c>
      <c r="G130" s="1" t="s">
        <v>698</v>
      </c>
      <c r="H130" s="1" t="s">
        <v>698</v>
      </c>
      <c r="I130" s="1" t="s">
        <v>698</v>
      </c>
      <c r="J130" s="1">
        <f t="shared" ref="J130:J162" si="10">SUBTOTAL(103,B130)</f>
        <v>1</v>
      </c>
      <c r="L130" s="1" t="s">
        <v>719</v>
      </c>
      <c r="M130" s="7">
        <v>6</v>
      </c>
      <c r="N130" s="1" t="s">
        <v>467</v>
      </c>
      <c r="O130" s="3" t="s">
        <v>468</v>
      </c>
      <c r="P130" s="3" t="s">
        <v>14</v>
      </c>
      <c r="Q130" s="3">
        <v>1</v>
      </c>
      <c r="R130" s="43">
        <f>VLOOKUP('32'!O130,Malzemeler!C:D,2,0)</f>
        <v>2</v>
      </c>
      <c r="S130" s="43">
        <f t="shared" si="6"/>
        <v>2</v>
      </c>
    </row>
    <row r="131" spans="1:19" x14ac:dyDescent="0.35">
      <c r="A131" s="102"/>
      <c r="B131" s="1">
        <v>32</v>
      </c>
      <c r="C131" s="1" t="s">
        <v>698</v>
      </c>
      <c r="D131" s="1">
        <v>47</v>
      </c>
      <c r="E131" s="1">
        <v>5</v>
      </c>
      <c r="F131" s="1" t="s">
        <v>698</v>
      </c>
      <c r="G131" s="1" t="s">
        <v>698</v>
      </c>
      <c r="H131" s="1" t="s">
        <v>698</v>
      </c>
      <c r="I131" s="1" t="s">
        <v>698</v>
      </c>
      <c r="J131" s="1">
        <f t="shared" si="10"/>
        <v>1</v>
      </c>
      <c r="L131" s="1" t="s">
        <v>719</v>
      </c>
      <c r="M131" s="7">
        <v>7</v>
      </c>
      <c r="N131" s="1" t="s">
        <v>463</v>
      </c>
      <c r="O131" s="3" t="s">
        <v>464</v>
      </c>
      <c r="P131" s="3" t="s">
        <v>14</v>
      </c>
      <c r="Q131" s="3">
        <v>2</v>
      </c>
      <c r="R131" s="43">
        <f>VLOOKUP('32'!O131,Malzemeler!C:D,2,0)</f>
        <v>7.15</v>
      </c>
      <c r="S131" s="43">
        <f t="shared" si="6"/>
        <v>14.3</v>
      </c>
    </row>
    <row r="132" spans="1:19" x14ac:dyDescent="0.35">
      <c r="A132" s="102"/>
      <c r="B132" s="1">
        <v>32</v>
      </c>
      <c r="C132" s="1" t="s">
        <v>698</v>
      </c>
      <c r="D132" s="1">
        <v>47</v>
      </c>
      <c r="E132" s="1">
        <v>5</v>
      </c>
      <c r="F132" s="1" t="s">
        <v>698</v>
      </c>
      <c r="G132" s="1" t="s">
        <v>698</v>
      </c>
      <c r="H132" s="1" t="s">
        <v>698</v>
      </c>
      <c r="I132" s="1" t="s">
        <v>698</v>
      </c>
      <c r="J132" s="1">
        <f t="shared" si="10"/>
        <v>1</v>
      </c>
      <c r="L132" s="1" t="s">
        <v>719</v>
      </c>
      <c r="M132" s="7">
        <v>8</v>
      </c>
      <c r="N132" s="1" t="s">
        <v>465</v>
      </c>
      <c r="O132" s="3" t="s">
        <v>466</v>
      </c>
      <c r="P132" s="3" t="s">
        <v>14</v>
      </c>
      <c r="Q132" s="3">
        <v>3</v>
      </c>
      <c r="R132" s="43">
        <f>VLOOKUP('32'!O132,Malzemeler!C:D,2,0)</f>
        <v>4.37</v>
      </c>
      <c r="S132" s="43">
        <f t="shared" si="6"/>
        <v>13.11</v>
      </c>
    </row>
    <row r="133" spans="1:19" x14ac:dyDescent="0.35">
      <c r="A133" s="102"/>
      <c r="B133" s="1">
        <v>32</v>
      </c>
      <c r="C133" s="1" t="s">
        <v>698</v>
      </c>
      <c r="D133" s="1">
        <v>47</v>
      </c>
      <c r="E133" s="1">
        <v>5</v>
      </c>
      <c r="F133" s="1" t="s">
        <v>698</v>
      </c>
      <c r="G133" s="1" t="s">
        <v>698</v>
      </c>
      <c r="H133" s="1" t="s">
        <v>698</v>
      </c>
      <c r="I133" s="1" t="s">
        <v>698</v>
      </c>
      <c r="J133" s="1">
        <f t="shared" si="10"/>
        <v>1</v>
      </c>
      <c r="L133" s="1" t="s">
        <v>719</v>
      </c>
      <c r="M133" s="7">
        <v>9</v>
      </c>
      <c r="N133" s="1" t="s">
        <v>295</v>
      </c>
      <c r="O133" s="3" t="s">
        <v>296</v>
      </c>
      <c r="P133" s="3" t="s">
        <v>14</v>
      </c>
      <c r="Q133" s="3">
        <v>1</v>
      </c>
      <c r="R133" s="43">
        <f>VLOOKUP('32'!O133,Malzemeler!C:D,2,0)</f>
        <v>3.3</v>
      </c>
      <c r="S133" s="43">
        <f t="shared" ref="S133:S168" si="11">+R133*Q133</f>
        <v>3.3</v>
      </c>
    </row>
    <row r="134" spans="1:19" x14ac:dyDescent="0.35">
      <c r="A134" s="102"/>
      <c r="B134" s="1">
        <v>32</v>
      </c>
      <c r="C134" s="1" t="s">
        <v>698</v>
      </c>
      <c r="D134" s="1">
        <v>5</v>
      </c>
      <c r="E134" s="1">
        <v>5</v>
      </c>
      <c r="F134" s="1" t="s">
        <v>698</v>
      </c>
      <c r="G134" s="1" t="s">
        <v>698</v>
      </c>
      <c r="H134" s="1" t="s">
        <v>698</v>
      </c>
      <c r="I134" s="1" t="s">
        <v>698</v>
      </c>
      <c r="J134" s="1">
        <f t="shared" ref="J134:J145" si="12">SUBTOTAL(103,B134)</f>
        <v>1</v>
      </c>
      <c r="L134" s="1" t="s">
        <v>719</v>
      </c>
      <c r="M134" s="7">
        <v>1</v>
      </c>
      <c r="N134" s="5" t="s">
        <v>211</v>
      </c>
      <c r="O134" s="3" t="s">
        <v>212</v>
      </c>
      <c r="P134" s="3" t="s">
        <v>14</v>
      </c>
      <c r="Q134" s="3">
        <v>4</v>
      </c>
      <c r="R134" s="43">
        <f>VLOOKUP('32'!O134,Malzemeler!C:D,2,0)</f>
        <v>4.43</v>
      </c>
      <c r="S134" s="43">
        <f t="shared" si="11"/>
        <v>17.72</v>
      </c>
    </row>
    <row r="135" spans="1:19" x14ac:dyDescent="0.35">
      <c r="A135" s="102"/>
      <c r="B135" s="1">
        <v>32</v>
      </c>
      <c r="C135" s="1" t="s">
        <v>698</v>
      </c>
      <c r="D135" s="1">
        <v>5</v>
      </c>
      <c r="E135" s="1">
        <v>5</v>
      </c>
      <c r="F135" s="1" t="s">
        <v>698</v>
      </c>
      <c r="G135" s="1" t="s">
        <v>698</v>
      </c>
      <c r="H135" s="1" t="s">
        <v>698</v>
      </c>
      <c r="I135" s="1" t="s">
        <v>698</v>
      </c>
      <c r="J135" s="1">
        <f t="shared" si="12"/>
        <v>1</v>
      </c>
      <c r="L135" s="1" t="s">
        <v>719</v>
      </c>
      <c r="M135" s="7">
        <v>2</v>
      </c>
      <c r="N135" s="5" t="s">
        <v>213</v>
      </c>
      <c r="O135" s="3" t="s">
        <v>214</v>
      </c>
      <c r="P135" s="3" t="s">
        <v>14</v>
      </c>
      <c r="Q135" s="3">
        <v>6</v>
      </c>
      <c r="R135" s="43">
        <f>VLOOKUP('32'!O135,Malzemeler!C:D,2,0)</f>
        <v>3.04</v>
      </c>
      <c r="S135" s="43">
        <f t="shared" si="11"/>
        <v>18.240000000000002</v>
      </c>
    </row>
    <row r="136" spans="1:19" x14ac:dyDescent="0.35">
      <c r="A136" s="102"/>
      <c r="B136" s="1">
        <v>32</v>
      </c>
      <c r="C136" s="1" t="s">
        <v>698</v>
      </c>
      <c r="D136" s="1">
        <v>5</v>
      </c>
      <c r="E136" s="1">
        <v>5</v>
      </c>
      <c r="F136" s="1" t="s">
        <v>698</v>
      </c>
      <c r="G136" s="1" t="s">
        <v>698</v>
      </c>
      <c r="H136" s="1" t="s">
        <v>698</v>
      </c>
      <c r="I136" s="1" t="s">
        <v>698</v>
      </c>
      <c r="J136" s="1">
        <f t="shared" si="12"/>
        <v>1</v>
      </c>
      <c r="L136" s="1" t="s">
        <v>719</v>
      </c>
      <c r="M136" s="7">
        <v>3</v>
      </c>
      <c r="N136" s="5" t="s">
        <v>297</v>
      </c>
      <c r="O136" s="3" t="s">
        <v>298</v>
      </c>
      <c r="P136" s="3" t="s">
        <v>14</v>
      </c>
      <c r="Q136" s="3">
        <v>2</v>
      </c>
      <c r="R136" s="43">
        <f>VLOOKUP('32'!O136,Malzemeler!C:D,2,0)</f>
        <v>2</v>
      </c>
      <c r="S136" s="43">
        <f t="shared" si="11"/>
        <v>4</v>
      </c>
    </row>
    <row r="137" spans="1:19" x14ac:dyDescent="0.35">
      <c r="A137" s="102"/>
      <c r="B137" s="1">
        <v>32</v>
      </c>
      <c r="C137" s="1" t="s">
        <v>698</v>
      </c>
      <c r="D137" s="1">
        <v>49</v>
      </c>
      <c r="E137" s="1">
        <v>5</v>
      </c>
      <c r="F137" s="1" t="s">
        <v>698</v>
      </c>
      <c r="G137" s="1" t="s">
        <v>698</v>
      </c>
      <c r="H137" s="1" t="s">
        <v>698</v>
      </c>
      <c r="I137" s="1" t="s">
        <v>698</v>
      </c>
      <c r="J137" s="1">
        <f t="shared" si="12"/>
        <v>1</v>
      </c>
      <c r="L137" s="1" t="s">
        <v>719</v>
      </c>
      <c r="M137" s="7">
        <v>1</v>
      </c>
      <c r="N137" s="1" t="s">
        <v>211</v>
      </c>
      <c r="O137" s="3" t="s">
        <v>212</v>
      </c>
      <c r="P137" s="3" t="s">
        <v>14</v>
      </c>
      <c r="Q137" s="3">
        <v>2</v>
      </c>
      <c r="R137" s="43">
        <f>VLOOKUP('32'!O137,Malzemeler!C:D,2,0)</f>
        <v>4.43</v>
      </c>
      <c r="S137" s="43">
        <f t="shared" si="11"/>
        <v>8.86</v>
      </c>
    </row>
    <row r="138" spans="1:19" x14ac:dyDescent="0.35">
      <c r="A138" s="102"/>
      <c r="B138" s="1">
        <v>32</v>
      </c>
      <c r="C138" s="1" t="s">
        <v>698</v>
      </c>
      <c r="D138" s="1">
        <v>49</v>
      </c>
      <c r="E138" s="1">
        <v>5</v>
      </c>
      <c r="F138" s="1" t="s">
        <v>698</v>
      </c>
      <c r="G138" s="1" t="s">
        <v>698</v>
      </c>
      <c r="H138" s="1" t="s">
        <v>698</v>
      </c>
      <c r="I138" s="1" t="s">
        <v>698</v>
      </c>
      <c r="J138" s="1">
        <f t="shared" si="12"/>
        <v>1</v>
      </c>
      <c r="L138" s="1" t="s">
        <v>719</v>
      </c>
      <c r="M138" s="7">
        <v>2</v>
      </c>
      <c r="N138" s="1" t="s">
        <v>213</v>
      </c>
      <c r="O138" s="3" t="s">
        <v>214</v>
      </c>
      <c r="P138" s="3" t="s">
        <v>14</v>
      </c>
      <c r="Q138" s="3">
        <v>3</v>
      </c>
      <c r="R138" s="43">
        <f>VLOOKUP('32'!O138,Malzemeler!C:D,2,0)</f>
        <v>3.04</v>
      </c>
      <c r="S138" s="43">
        <f t="shared" si="11"/>
        <v>9.120000000000001</v>
      </c>
    </row>
    <row r="139" spans="1:19" x14ac:dyDescent="0.35">
      <c r="A139" s="102"/>
      <c r="B139" s="1">
        <v>32</v>
      </c>
      <c r="C139" s="1" t="s">
        <v>698</v>
      </c>
      <c r="D139" s="1">
        <v>49</v>
      </c>
      <c r="E139" s="1">
        <v>5</v>
      </c>
      <c r="F139" s="1" t="s">
        <v>698</v>
      </c>
      <c r="G139" s="1" t="s">
        <v>698</v>
      </c>
      <c r="H139" s="1" t="s">
        <v>698</v>
      </c>
      <c r="I139" s="1" t="s">
        <v>698</v>
      </c>
      <c r="J139" s="1">
        <f t="shared" si="12"/>
        <v>1</v>
      </c>
      <c r="L139" s="1" t="s">
        <v>719</v>
      </c>
      <c r="M139" s="7">
        <v>3</v>
      </c>
      <c r="N139" s="1" t="s">
        <v>297</v>
      </c>
      <c r="O139" s="3" t="s">
        <v>298</v>
      </c>
      <c r="P139" s="3" t="s">
        <v>14</v>
      </c>
      <c r="Q139" s="3">
        <v>1</v>
      </c>
      <c r="R139" s="43">
        <f>VLOOKUP('32'!O139,Malzemeler!C:D,2,0)</f>
        <v>2</v>
      </c>
      <c r="S139" s="43">
        <f t="shared" si="11"/>
        <v>2</v>
      </c>
    </row>
    <row r="140" spans="1:19" x14ac:dyDescent="0.35">
      <c r="A140" s="102"/>
      <c r="B140" s="1">
        <v>32</v>
      </c>
      <c r="C140" s="1" t="s">
        <v>698</v>
      </c>
      <c r="D140" s="1">
        <v>49</v>
      </c>
      <c r="E140" s="1">
        <v>5</v>
      </c>
      <c r="F140" s="1" t="s">
        <v>698</v>
      </c>
      <c r="G140" s="1" t="s">
        <v>698</v>
      </c>
      <c r="H140" s="1" t="s">
        <v>698</v>
      </c>
      <c r="I140" s="1" t="s">
        <v>698</v>
      </c>
      <c r="J140" s="1">
        <f t="shared" si="12"/>
        <v>1</v>
      </c>
      <c r="L140" s="1" t="s">
        <v>719</v>
      </c>
      <c r="M140" s="7">
        <v>4</v>
      </c>
      <c r="N140" s="1" t="s">
        <v>459</v>
      </c>
      <c r="O140" s="3" t="s">
        <v>460</v>
      </c>
      <c r="P140" s="3" t="s">
        <v>14</v>
      </c>
      <c r="Q140" s="3">
        <v>2</v>
      </c>
      <c r="R140" s="43">
        <f>VLOOKUP('32'!O140,Malzemeler!C:D,2,0)</f>
        <v>4.55</v>
      </c>
      <c r="S140" s="43">
        <f t="shared" si="11"/>
        <v>9.1</v>
      </c>
    </row>
    <row r="141" spans="1:19" x14ac:dyDescent="0.35">
      <c r="A141" s="102"/>
      <c r="B141" s="1">
        <v>32</v>
      </c>
      <c r="C141" s="1" t="s">
        <v>698</v>
      </c>
      <c r="D141" s="1">
        <v>49</v>
      </c>
      <c r="E141" s="1">
        <v>5</v>
      </c>
      <c r="F141" s="1" t="s">
        <v>698</v>
      </c>
      <c r="G141" s="1" t="s">
        <v>698</v>
      </c>
      <c r="H141" s="1" t="s">
        <v>698</v>
      </c>
      <c r="I141" s="1" t="s">
        <v>698</v>
      </c>
      <c r="J141" s="1">
        <f t="shared" si="12"/>
        <v>1</v>
      </c>
      <c r="L141" s="1" t="s">
        <v>719</v>
      </c>
      <c r="M141" s="7">
        <v>5</v>
      </c>
      <c r="N141" s="1" t="s">
        <v>461</v>
      </c>
      <c r="O141" s="3" t="s">
        <v>462</v>
      </c>
      <c r="P141" s="3" t="s">
        <v>14</v>
      </c>
      <c r="Q141" s="3">
        <v>3</v>
      </c>
      <c r="R141" s="43">
        <f>VLOOKUP('32'!O141,Malzemeler!C:D,2,0)</f>
        <v>2.96</v>
      </c>
      <c r="S141" s="43">
        <f t="shared" si="11"/>
        <v>8.879999999999999</v>
      </c>
    </row>
    <row r="142" spans="1:19" x14ac:dyDescent="0.35">
      <c r="A142" s="102"/>
      <c r="B142" s="1">
        <v>32</v>
      </c>
      <c r="C142" s="1" t="s">
        <v>698</v>
      </c>
      <c r="D142" s="1">
        <v>49</v>
      </c>
      <c r="E142" s="1">
        <v>5</v>
      </c>
      <c r="F142" s="1" t="s">
        <v>698</v>
      </c>
      <c r="G142" s="1" t="s">
        <v>698</v>
      </c>
      <c r="H142" s="1" t="s">
        <v>698</v>
      </c>
      <c r="I142" s="1" t="s">
        <v>698</v>
      </c>
      <c r="J142" s="1">
        <f t="shared" si="12"/>
        <v>1</v>
      </c>
      <c r="L142" s="1" t="s">
        <v>719</v>
      </c>
      <c r="M142" s="7">
        <v>6</v>
      </c>
      <c r="N142" s="1" t="s">
        <v>467</v>
      </c>
      <c r="O142" s="3" t="s">
        <v>468</v>
      </c>
      <c r="P142" s="3" t="s">
        <v>14</v>
      </c>
      <c r="Q142" s="3">
        <v>1</v>
      </c>
      <c r="R142" s="43">
        <f>VLOOKUP('32'!O142,Malzemeler!C:D,2,0)</f>
        <v>2</v>
      </c>
      <c r="S142" s="43">
        <f t="shared" si="11"/>
        <v>2</v>
      </c>
    </row>
    <row r="143" spans="1:19" x14ac:dyDescent="0.35">
      <c r="A143" s="102"/>
      <c r="B143" s="1">
        <v>32</v>
      </c>
      <c r="C143" s="1" t="s">
        <v>698</v>
      </c>
      <c r="D143" s="1">
        <v>49</v>
      </c>
      <c r="E143" s="1">
        <v>5</v>
      </c>
      <c r="F143" s="1" t="s">
        <v>698</v>
      </c>
      <c r="G143" s="1" t="s">
        <v>698</v>
      </c>
      <c r="H143" s="1" t="s">
        <v>698</v>
      </c>
      <c r="I143" s="1" t="s">
        <v>698</v>
      </c>
      <c r="J143" s="1">
        <f t="shared" si="12"/>
        <v>1</v>
      </c>
      <c r="L143" s="1" t="s">
        <v>719</v>
      </c>
      <c r="M143" s="7">
        <v>7</v>
      </c>
      <c r="N143" s="5" t="s">
        <v>575</v>
      </c>
      <c r="O143" s="3" t="s">
        <v>577</v>
      </c>
      <c r="P143" s="3" t="s">
        <v>14</v>
      </c>
      <c r="Q143" s="3">
        <v>2</v>
      </c>
      <c r="R143" s="43">
        <f>VLOOKUP('32'!O143,Malzemeler!C:D,2,0)</f>
        <v>6.91</v>
      </c>
      <c r="S143" s="43">
        <f t="shared" si="11"/>
        <v>13.82</v>
      </c>
    </row>
    <row r="144" spans="1:19" x14ac:dyDescent="0.35">
      <c r="A144" s="102"/>
      <c r="B144" s="1">
        <v>32</v>
      </c>
      <c r="C144" s="1" t="s">
        <v>698</v>
      </c>
      <c r="D144" s="1">
        <v>49</v>
      </c>
      <c r="E144" s="1">
        <v>5</v>
      </c>
      <c r="F144" s="1" t="s">
        <v>698</v>
      </c>
      <c r="G144" s="1" t="s">
        <v>698</v>
      </c>
      <c r="H144" s="1" t="s">
        <v>698</v>
      </c>
      <c r="I144" s="1" t="s">
        <v>698</v>
      </c>
      <c r="J144" s="1">
        <f t="shared" si="12"/>
        <v>1</v>
      </c>
      <c r="L144" s="1" t="s">
        <v>719</v>
      </c>
      <c r="M144" s="7">
        <v>8</v>
      </c>
      <c r="N144" s="5" t="s">
        <v>576</v>
      </c>
      <c r="O144" s="3" t="s">
        <v>578</v>
      </c>
      <c r="P144" s="3" t="s">
        <v>14</v>
      </c>
      <c r="Q144" s="3">
        <v>3</v>
      </c>
      <c r="R144" s="43">
        <f>VLOOKUP('32'!O144,Malzemeler!C:D,2,0)</f>
        <v>4.47</v>
      </c>
      <c r="S144" s="43">
        <f t="shared" si="11"/>
        <v>13.41</v>
      </c>
    </row>
    <row r="145" spans="1:19" x14ac:dyDescent="0.35">
      <c r="A145" s="102"/>
      <c r="B145" s="1">
        <v>32</v>
      </c>
      <c r="C145" s="1" t="s">
        <v>698</v>
      </c>
      <c r="D145" s="1">
        <v>49</v>
      </c>
      <c r="E145" s="1">
        <v>5</v>
      </c>
      <c r="F145" s="1" t="s">
        <v>698</v>
      </c>
      <c r="G145" s="1" t="s">
        <v>698</v>
      </c>
      <c r="H145" s="1" t="s">
        <v>698</v>
      </c>
      <c r="I145" s="1" t="s">
        <v>698</v>
      </c>
      <c r="J145" s="1">
        <f t="shared" si="12"/>
        <v>1</v>
      </c>
      <c r="L145" s="1" t="s">
        <v>719</v>
      </c>
      <c r="M145" s="7">
        <v>9</v>
      </c>
      <c r="N145" s="5" t="s">
        <v>579</v>
      </c>
      <c r="O145" s="3" t="s">
        <v>580</v>
      </c>
      <c r="P145" s="3" t="s">
        <v>14</v>
      </c>
      <c r="Q145" s="3">
        <v>1</v>
      </c>
      <c r="R145" s="43">
        <f>VLOOKUP('32'!O145,Malzemeler!C:D,2,0)</f>
        <v>4</v>
      </c>
      <c r="S145" s="43">
        <f t="shared" si="11"/>
        <v>4</v>
      </c>
    </row>
    <row r="146" spans="1:19" x14ac:dyDescent="0.35">
      <c r="A146" s="102" t="s">
        <v>478</v>
      </c>
      <c r="B146" s="1">
        <v>32</v>
      </c>
      <c r="C146" s="1" t="s">
        <v>572</v>
      </c>
      <c r="D146" s="1" t="s">
        <v>698</v>
      </c>
      <c r="E146" s="1" t="s">
        <v>698</v>
      </c>
      <c r="F146" s="1" t="s">
        <v>602</v>
      </c>
      <c r="G146" s="1" t="s">
        <v>698</v>
      </c>
      <c r="H146" s="1" t="s">
        <v>698</v>
      </c>
      <c r="I146" s="1" t="s">
        <v>698</v>
      </c>
      <c r="J146" s="1">
        <f t="shared" si="10"/>
        <v>1</v>
      </c>
      <c r="L146" s="1" t="s">
        <v>724</v>
      </c>
      <c r="M146" s="18">
        <v>1</v>
      </c>
      <c r="N146" s="1" t="s">
        <v>481</v>
      </c>
      <c r="O146" s="3" t="s">
        <v>482</v>
      </c>
      <c r="P146" s="3" t="s">
        <v>14</v>
      </c>
      <c r="Q146" s="11">
        <v>1</v>
      </c>
      <c r="R146" s="43">
        <f>VLOOKUP('32'!O146,Malzemeler!C:D,2,0)</f>
        <v>825</v>
      </c>
      <c r="S146" s="43">
        <f t="shared" si="11"/>
        <v>825</v>
      </c>
    </row>
    <row r="147" spans="1:19" x14ac:dyDescent="0.35">
      <c r="A147" s="98"/>
      <c r="B147" s="1">
        <v>32</v>
      </c>
      <c r="C147" s="1" t="s">
        <v>573</v>
      </c>
      <c r="D147" s="1" t="s">
        <v>698</v>
      </c>
      <c r="E147" s="1" t="s">
        <v>698</v>
      </c>
      <c r="F147" s="1" t="s">
        <v>602</v>
      </c>
      <c r="G147" s="1" t="s">
        <v>698</v>
      </c>
      <c r="H147" s="1" t="s">
        <v>698</v>
      </c>
      <c r="I147" s="1" t="s">
        <v>698</v>
      </c>
      <c r="J147" s="1">
        <f>SUBTOTAL(103,B147)</f>
        <v>1</v>
      </c>
      <c r="L147" s="1" t="s">
        <v>725</v>
      </c>
      <c r="M147" s="27">
        <v>1</v>
      </c>
      <c r="N147" s="28" t="s">
        <v>481</v>
      </c>
      <c r="O147" s="29" t="s">
        <v>700</v>
      </c>
      <c r="P147" s="29" t="s">
        <v>14</v>
      </c>
      <c r="Q147" s="30">
        <v>1</v>
      </c>
      <c r="R147" s="43" t="e">
        <f>VLOOKUP('32'!O147,Malzemeler!C:D,2,0)</f>
        <v>#N/A</v>
      </c>
      <c r="S147" s="43" t="e">
        <f>+R147*Q147</f>
        <v>#N/A</v>
      </c>
    </row>
    <row r="148" spans="1:19" x14ac:dyDescent="0.35">
      <c r="A148" s="102"/>
      <c r="B148" s="1">
        <v>32</v>
      </c>
      <c r="C148" s="1" t="s">
        <v>698</v>
      </c>
      <c r="D148" s="1" t="s">
        <v>698</v>
      </c>
      <c r="E148" s="1" t="s">
        <v>698</v>
      </c>
      <c r="F148" s="1" t="s">
        <v>602</v>
      </c>
      <c r="G148" s="1" t="s">
        <v>698</v>
      </c>
      <c r="H148" s="1" t="s">
        <v>698</v>
      </c>
      <c r="I148" s="1" t="s">
        <v>698</v>
      </c>
      <c r="J148" s="1">
        <f t="shared" si="10"/>
        <v>1</v>
      </c>
      <c r="L148" s="1" t="s">
        <v>724</v>
      </c>
      <c r="M148" s="18">
        <v>2</v>
      </c>
      <c r="N148" s="5" t="s">
        <v>484</v>
      </c>
      <c r="O148" s="3" t="s">
        <v>485</v>
      </c>
      <c r="P148" s="3" t="s">
        <v>14</v>
      </c>
      <c r="Q148" s="11">
        <v>1</v>
      </c>
      <c r="R148" s="43">
        <f>VLOOKUP('32'!O148,Malzemeler!C:D,2,0)</f>
        <v>153.44999999999999</v>
      </c>
      <c r="S148" s="43">
        <f t="shared" si="11"/>
        <v>153.44999999999999</v>
      </c>
    </row>
    <row r="149" spans="1:19" x14ac:dyDescent="0.35">
      <c r="A149" s="102"/>
      <c r="B149" s="1">
        <v>32</v>
      </c>
      <c r="C149" s="1" t="s">
        <v>698</v>
      </c>
      <c r="D149" s="1" t="s">
        <v>698</v>
      </c>
      <c r="E149" s="1" t="s">
        <v>698</v>
      </c>
      <c r="F149" s="1" t="s">
        <v>602</v>
      </c>
      <c r="G149" s="1" t="s">
        <v>698</v>
      </c>
      <c r="H149" s="1" t="s">
        <v>698</v>
      </c>
      <c r="I149" s="1" t="s">
        <v>698</v>
      </c>
      <c r="J149" s="1">
        <f t="shared" si="10"/>
        <v>1</v>
      </c>
      <c r="L149" s="1" t="s">
        <v>724</v>
      </c>
      <c r="M149" s="18">
        <v>3</v>
      </c>
      <c r="N149" s="5" t="s">
        <v>486</v>
      </c>
      <c r="O149" s="3" t="s">
        <v>487</v>
      </c>
      <c r="P149" s="3" t="s">
        <v>14</v>
      </c>
      <c r="Q149" s="11">
        <v>1</v>
      </c>
      <c r="R149" s="43">
        <f>VLOOKUP('32'!O149,Malzemeler!C:D,2,0)</f>
        <v>113.85</v>
      </c>
      <c r="S149" s="43">
        <f t="shared" si="11"/>
        <v>113.85</v>
      </c>
    </row>
    <row r="150" spans="1:19" x14ac:dyDescent="0.35">
      <c r="A150" s="102"/>
      <c r="B150" s="1">
        <v>32</v>
      </c>
      <c r="C150" s="1" t="s">
        <v>698</v>
      </c>
      <c r="D150" s="1" t="s">
        <v>698</v>
      </c>
      <c r="E150" s="1" t="s">
        <v>698</v>
      </c>
      <c r="F150" s="1" t="s">
        <v>602</v>
      </c>
      <c r="G150" s="1" t="s">
        <v>698</v>
      </c>
      <c r="H150" s="1" t="s">
        <v>698</v>
      </c>
      <c r="I150" s="1" t="s">
        <v>698</v>
      </c>
      <c r="J150" s="1">
        <f t="shared" si="10"/>
        <v>1</v>
      </c>
      <c r="L150" s="1" t="s">
        <v>724</v>
      </c>
      <c r="M150" s="18">
        <v>4</v>
      </c>
      <c r="N150" s="1" t="s">
        <v>90</v>
      </c>
      <c r="O150" s="3" t="s">
        <v>91</v>
      </c>
      <c r="P150" s="3" t="s">
        <v>135</v>
      </c>
      <c r="Q150" s="10">
        <v>6.7659999999999982</v>
      </c>
      <c r="R150" s="43">
        <f>VLOOKUP('32'!O150,Malzemeler!C:D,2,0)</f>
        <v>1.27</v>
      </c>
      <c r="S150" s="43">
        <f t="shared" si="11"/>
        <v>8.5928199999999979</v>
      </c>
    </row>
    <row r="151" spans="1:19" x14ac:dyDescent="0.35">
      <c r="A151" s="102"/>
      <c r="B151" s="1">
        <v>32</v>
      </c>
      <c r="C151" s="1" t="s">
        <v>698</v>
      </c>
      <c r="D151" s="1" t="s">
        <v>698</v>
      </c>
      <c r="E151" s="1" t="s">
        <v>698</v>
      </c>
      <c r="F151" s="1" t="s">
        <v>602</v>
      </c>
      <c r="G151" s="1" t="s">
        <v>698</v>
      </c>
      <c r="H151" s="1" t="s">
        <v>698</v>
      </c>
      <c r="I151" s="1" t="s">
        <v>698</v>
      </c>
      <c r="J151" s="1">
        <f t="shared" si="10"/>
        <v>1</v>
      </c>
      <c r="L151" s="1" t="s">
        <v>724</v>
      </c>
      <c r="M151" s="18">
        <v>5</v>
      </c>
      <c r="N151" s="1" t="s">
        <v>92</v>
      </c>
      <c r="O151" s="3" t="s">
        <v>93</v>
      </c>
      <c r="P151" s="3" t="s">
        <v>135</v>
      </c>
      <c r="Q151" s="10">
        <v>2.4480000000000004</v>
      </c>
      <c r="R151" s="43">
        <f>VLOOKUP('32'!O151,Malzemeler!C:D,2,0)</f>
        <v>1.74</v>
      </c>
      <c r="S151" s="43">
        <f t="shared" si="11"/>
        <v>4.2595200000000011</v>
      </c>
    </row>
    <row r="152" spans="1:19" x14ac:dyDescent="0.35">
      <c r="A152" s="102"/>
      <c r="B152" s="1">
        <v>32</v>
      </c>
      <c r="C152" s="1" t="s">
        <v>698</v>
      </c>
      <c r="D152" s="1" t="s">
        <v>698</v>
      </c>
      <c r="E152" s="1" t="s">
        <v>698</v>
      </c>
      <c r="F152" s="1" t="s">
        <v>602</v>
      </c>
      <c r="G152" s="1" t="s">
        <v>698</v>
      </c>
      <c r="H152" s="1" t="s">
        <v>698</v>
      </c>
      <c r="I152" s="1" t="s">
        <v>698</v>
      </c>
      <c r="J152" s="1">
        <f t="shared" si="10"/>
        <v>1</v>
      </c>
      <c r="L152" s="1" t="s">
        <v>724</v>
      </c>
      <c r="M152" s="18">
        <v>6</v>
      </c>
      <c r="N152" s="1" t="s">
        <v>94</v>
      </c>
      <c r="O152" s="3" t="s">
        <v>95</v>
      </c>
      <c r="P152" s="3" t="s">
        <v>135</v>
      </c>
      <c r="Q152" s="10">
        <v>8.578000000000003</v>
      </c>
      <c r="R152" s="43">
        <f>VLOOKUP('32'!O152,Malzemeler!C:D,2,0)</f>
        <v>1.95</v>
      </c>
      <c r="S152" s="43">
        <f t="shared" si="11"/>
        <v>16.727100000000004</v>
      </c>
    </row>
    <row r="153" spans="1:19" x14ac:dyDescent="0.35">
      <c r="A153" s="102"/>
      <c r="B153" s="1">
        <v>32</v>
      </c>
      <c r="C153" s="1" t="s">
        <v>698</v>
      </c>
      <c r="D153" s="1" t="s">
        <v>698</v>
      </c>
      <c r="E153" s="1" t="s">
        <v>698</v>
      </c>
      <c r="F153" s="1" t="s">
        <v>602</v>
      </c>
      <c r="G153" s="1" t="s">
        <v>698</v>
      </c>
      <c r="H153" s="1" t="s">
        <v>698</v>
      </c>
      <c r="I153" s="1" t="s">
        <v>698</v>
      </c>
      <c r="J153" s="1">
        <f t="shared" si="10"/>
        <v>1</v>
      </c>
      <c r="L153" s="1" t="s">
        <v>724</v>
      </c>
      <c r="M153" s="18">
        <v>7</v>
      </c>
      <c r="N153" s="1" t="s">
        <v>98</v>
      </c>
      <c r="O153" s="3" t="s">
        <v>99</v>
      </c>
      <c r="P153" s="3" t="s">
        <v>133</v>
      </c>
      <c r="Q153" s="10">
        <v>2.304000000000002</v>
      </c>
      <c r="R153" s="43">
        <f>VLOOKUP('32'!O153,Malzemeler!C:D,2,0)</f>
        <v>0.87</v>
      </c>
      <c r="S153" s="43">
        <f t="shared" si="11"/>
        <v>2.0044800000000018</v>
      </c>
    </row>
    <row r="154" spans="1:19" x14ac:dyDescent="0.35">
      <c r="A154" s="102"/>
      <c r="B154" s="1">
        <v>32</v>
      </c>
      <c r="C154" s="1" t="s">
        <v>698</v>
      </c>
      <c r="D154" s="1" t="s">
        <v>698</v>
      </c>
      <c r="E154" s="1" t="s">
        <v>698</v>
      </c>
      <c r="F154" s="1" t="s">
        <v>602</v>
      </c>
      <c r="G154" s="1" t="s">
        <v>698</v>
      </c>
      <c r="H154" s="1" t="s">
        <v>698</v>
      </c>
      <c r="I154" s="1" t="s">
        <v>698</v>
      </c>
      <c r="J154" s="1">
        <f t="shared" si="10"/>
        <v>1</v>
      </c>
      <c r="L154" s="1" t="s">
        <v>724</v>
      </c>
      <c r="M154" s="18">
        <v>8</v>
      </c>
      <c r="N154" s="1" t="s">
        <v>102</v>
      </c>
      <c r="O154" s="3" t="s">
        <v>103</v>
      </c>
      <c r="P154" s="3" t="s">
        <v>133</v>
      </c>
      <c r="Q154" s="10">
        <v>10.067999999999998</v>
      </c>
      <c r="R154" s="43">
        <f>VLOOKUP('32'!O154,Malzemeler!C:D,2,0)</f>
        <v>1.1299999999999999</v>
      </c>
      <c r="S154" s="43">
        <f t="shared" si="11"/>
        <v>11.376839999999996</v>
      </c>
    </row>
    <row r="155" spans="1:19" x14ac:dyDescent="0.35">
      <c r="A155" s="102"/>
      <c r="B155" s="1">
        <v>32</v>
      </c>
      <c r="C155" s="1" t="s">
        <v>698</v>
      </c>
      <c r="D155" s="1" t="s">
        <v>698</v>
      </c>
      <c r="E155" s="1" t="s">
        <v>698</v>
      </c>
      <c r="F155" s="1" t="s">
        <v>602</v>
      </c>
      <c r="G155" s="1" t="s">
        <v>698</v>
      </c>
      <c r="H155" s="1" t="s">
        <v>698</v>
      </c>
      <c r="I155" s="1" t="s">
        <v>698</v>
      </c>
      <c r="J155" s="1">
        <f t="shared" si="10"/>
        <v>1</v>
      </c>
      <c r="L155" s="1" t="s">
        <v>724</v>
      </c>
      <c r="M155" s="18">
        <v>9</v>
      </c>
      <c r="N155" s="1" t="s">
        <v>104</v>
      </c>
      <c r="O155" s="3" t="s">
        <v>105</v>
      </c>
      <c r="P155" s="3" t="s">
        <v>133</v>
      </c>
      <c r="Q155" s="10">
        <v>96.258788479999907</v>
      </c>
      <c r="R155" s="43">
        <f>VLOOKUP('32'!O155,Malzemeler!C:D,2,0)</f>
        <v>0.98</v>
      </c>
      <c r="S155" s="43">
        <f t="shared" si="11"/>
        <v>94.333612710399905</v>
      </c>
    </row>
    <row r="156" spans="1:19" x14ac:dyDescent="0.35">
      <c r="A156" s="102"/>
      <c r="B156" s="1">
        <v>32</v>
      </c>
      <c r="C156" s="1" t="s">
        <v>698</v>
      </c>
      <c r="D156" s="1" t="s">
        <v>698</v>
      </c>
      <c r="E156" s="1" t="s">
        <v>698</v>
      </c>
      <c r="F156" s="1" t="s">
        <v>602</v>
      </c>
      <c r="G156" s="1" t="s">
        <v>698</v>
      </c>
      <c r="H156" s="1" t="s">
        <v>698</v>
      </c>
      <c r="I156" s="1" t="s">
        <v>698</v>
      </c>
      <c r="J156" s="1">
        <f t="shared" si="10"/>
        <v>1</v>
      </c>
      <c r="L156" s="1" t="s">
        <v>724</v>
      </c>
      <c r="M156" s="18">
        <v>10</v>
      </c>
      <c r="N156" s="1" t="s">
        <v>106</v>
      </c>
      <c r="O156" s="3" t="s">
        <v>107</v>
      </c>
      <c r="P156" s="3" t="s">
        <v>14</v>
      </c>
      <c r="Q156" s="11">
        <v>4</v>
      </c>
      <c r="R156" s="43">
        <f>VLOOKUP('32'!O156,Malzemeler!C:D,2,0)</f>
        <v>0</v>
      </c>
      <c r="S156" s="43">
        <f t="shared" si="11"/>
        <v>0</v>
      </c>
    </row>
    <row r="157" spans="1:19" x14ac:dyDescent="0.35">
      <c r="A157" s="102"/>
      <c r="B157" s="1">
        <v>32</v>
      </c>
      <c r="C157" s="1" t="s">
        <v>698</v>
      </c>
      <c r="D157" s="1" t="s">
        <v>698</v>
      </c>
      <c r="E157" s="1" t="s">
        <v>698</v>
      </c>
      <c r="F157" s="1" t="s">
        <v>602</v>
      </c>
      <c r="G157" s="1" t="s">
        <v>698</v>
      </c>
      <c r="H157" s="1" t="s">
        <v>698</v>
      </c>
      <c r="I157" s="1" t="s">
        <v>698</v>
      </c>
      <c r="J157" s="1">
        <f t="shared" si="10"/>
        <v>1</v>
      </c>
      <c r="L157" s="1" t="s">
        <v>724</v>
      </c>
      <c r="M157" s="18">
        <v>11</v>
      </c>
      <c r="N157" s="1" t="s">
        <v>108</v>
      </c>
      <c r="O157" s="3" t="s">
        <v>109</v>
      </c>
      <c r="P157" s="3" t="s">
        <v>14</v>
      </c>
      <c r="Q157" s="11">
        <v>4</v>
      </c>
      <c r="R157" s="43">
        <f>VLOOKUP('32'!O157,Malzemeler!C:D,2,0)</f>
        <v>0</v>
      </c>
      <c r="S157" s="43">
        <f t="shared" si="11"/>
        <v>0</v>
      </c>
    </row>
    <row r="158" spans="1:19" x14ac:dyDescent="0.35">
      <c r="A158" s="102"/>
      <c r="B158" s="1">
        <v>32</v>
      </c>
      <c r="C158" s="1" t="s">
        <v>698</v>
      </c>
      <c r="D158" s="1" t="s">
        <v>698</v>
      </c>
      <c r="E158" s="1" t="s">
        <v>698</v>
      </c>
      <c r="F158" s="1" t="s">
        <v>602</v>
      </c>
      <c r="G158" s="1" t="s">
        <v>698</v>
      </c>
      <c r="H158" s="1" t="s">
        <v>698</v>
      </c>
      <c r="I158" s="1" t="s">
        <v>698</v>
      </c>
      <c r="J158" s="1">
        <f t="shared" si="10"/>
        <v>1</v>
      </c>
      <c r="L158" s="1" t="s">
        <v>724</v>
      </c>
      <c r="M158" s="18">
        <v>12</v>
      </c>
      <c r="N158" s="1" t="s">
        <v>110</v>
      </c>
      <c r="O158" s="3" t="s">
        <v>111</v>
      </c>
      <c r="P158" s="3" t="s">
        <v>135</v>
      </c>
      <c r="Q158" s="10">
        <v>15.627999999999986</v>
      </c>
      <c r="R158" s="43">
        <f>VLOOKUP('32'!O158,Malzemeler!C:D,2,0)</f>
        <v>1.1200000000000001</v>
      </c>
      <c r="S158" s="43">
        <f t="shared" si="11"/>
        <v>17.503359999999986</v>
      </c>
    </row>
    <row r="159" spans="1:19" x14ac:dyDescent="0.35">
      <c r="A159" s="102"/>
      <c r="B159" s="1">
        <v>32</v>
      </c>
      <c r="C159" s="1" t="s">
        <v>698</v>
      </c>
      <c r="D159" s="1" t="s">
        <v>698</v>
      </c>
      <c r="E159" s="1" t="s">
        <v>698</v>
      </c>
      <c r="F159" s="1" t="s">
        <v>602</v>
      </c>
      <c r="G159" s="1" t="s">
        <v>698</v>
      </c>
      <c r="H159" s="1" t="s">
        <v>698</v>
      </c>
      <c r="I159" s="1" t="s">
        <v>698</v>
      </c>
      <c r="J159" s="1">
        <f t="shared" si="10"/>
        <v>1</v>
      </c>
      <c r="L159" s="1" t="s">
        <v>724</v>
      </c>
      <c r="M159" s="18">
        <v>13</v>
      </c>
      <c r="N159" s="1" t="s">
        <v>112</v>
      </c>
      <c r="O159" s="3" t="s">
        <v>113</v>
      </c>
      <c r="P159" s="3" t="s">
        <v>14</v>
      </c>
      <c r="Q159" s="11">
        <v>20</v>
      </c>
      <c r="R159" s="43">
        <f>VLOOKUP('32'!O159,Malzemeler!C:D,2,0)</f>
        <v>1.1200000000000001</v>
      </c>
      <c r="S159" s="43">
        <f t="shared" si="11"/>
        <v>22.400000000000002</v>
      </c>
    </row>
    <row r="160" spans="1:19" x14ac:dyDescent="0.35">
      <c r="A160" s="102"/>
      <c r="B160" s="1">
        <v>32</v>
      </c>
      <c r="C160" s="1" t="s">
        <v>698</v>
      </c>
      <c r="D160" s="1" t="s">
        <v>698</v>
      </c>
      <c r="E160" s="1" t="s">
        <v>698</v>
      </c>
      <c r="F160" s="1" t="s">
        <v>602</v>
      </c>
      <c r="G160" s="1" t="s">
        <v>698</v>
      </c>
      <c r="H160" s="1" t="s">
        <v>698</v>
      </c>
      <c r="I160" s="1" t="s">
        <v>698</v>
      </c>
      <c r="J160" s="1">
        <f t="shared" si="10"/>
        <v>1</v>
      </c>
      <c r="L160" s="1" t="s">
        <v>724</v>
      </c>
      <c r="M160" s="18">
        <v>14</v>
      </c>
      <c r="N160" s="1" t="s">
        <v>268</v>
      </c>
      <c r="O160" s="3" t="s">
        <v>269</v>
      </c>
      <c r="P160" s="3" t="s">
        <v>14</v>
      </c>
      <c r="Q160" s="11">
        <v>2</v>
      </c>
      <c r="R160" s="43">
        <f>VLOOKUP('32'!O160,Malzemeler!C:D,2,0)</f>
        <v>3.2450000000000001</v>
      </c>
      <c r="S160" s="43">
        <f t="shared" si="11"/>
        <v>6.49</v>
      </c>
    </row>
    <row r="161" spans="1:19" x14ac:dyDescent="0.35">
      <c r="A161" s="102"/>
      <c r="B161" s="1">
        <v>32</v>
      </c>
      <c r="C161" s="1" t="s">
        <v>698</v>
      </c>
      <c r="D161" s="1" t="s">
        <v>698</v>
      </c>
      <c r="E161" s="1" t="s">
        <v>698</v>
      </c>
      <c r="F161" s="1" t="s">
        <v>602</v>
      </c>
      <c r="G161" s="1" t="s">
        <v>698</v>
      </c>
      <c r="H161" s="1" t="s">
        <v>698</v>
      </c>
      <c r="I161" s="1" t="s">
        <v>698</v>
      </c>
      <c r="J161" s="1">
        <f t="shared" si="10"/>
        <v>1</v>
      </c>
      <c r="L161" s="1" t="s">
        <v>724</v>
      </c>
      <c r="M161" s="18">
        <v>15</v>
      </c>
      <c r="N161" s="1" t="s">
        <v>476</v>
      </c>
      <c r="O161" s="3" t="s">
        <v>477</v>
      </c>
      <c r="P161" s="3" t="s">
        <v>14</v>
      </c>
      <c r="Q161" s="11">
        <v>2</v>
      </c>
      <c r="R161" s="43">
        <f>VLOOKUP('32'!O161,Malzemeler!C:D,2,0)</f>
        <v>2.2709999999999999</v>
      </c>
      <c r="S161" s="43">
        <f t="shared" si="11"/>
        <v>4.5419999999999998</v>
      </c>
    </row>
    <row r="162" spans="1:19" x14ac:dyDescent="0.35">
      <c r="A162" s="102"/>
      <c r="B162" s="1">
        <v>32</v>
      </c>
      <c r="C162" s="1" t="s">
        <v>698</v>
      </c>
      <c r="D162" s="1" t="s">
        <v>698</v>
      </c>
      <c r="E162" s="1" t="s">
        <v>698</v>
      </c>
      <c r="F162" s="1" t="s">
        <v>602</v>
      </c>
      <c r="G162" s="1" t="s">
        <v>698</v>
      </c>
      <c r="H162" s="1" t="s">
        <v>698</v>
      </c>
      <c r="I162" s="1" t="s">
        <v>698</v>
      </c>
      <c r="J162" s="1">
        <f t="shared" si="10"/>
        <v>1</v>
      </c>
      <c r="L162" s="1" t="s">
        <v>724</v>
      </c>
      <c r="M162" s="18">
        <v>16</v>
      </c>
      <c r="N162" s="1" t="s">
        <v>114</v>
      </c>
      <c r="O162" s="3" t="s">
        <v>115</v>
      </c>
      <c r="P162" s="3" t="s">
        <v>135</v>
      </c>
      <c r="Q162" s="10">
        <v>2.5519999999999996</v>
      </c>
      <c r="R162" s="43">
        <f>VLOOKUP('32'!O162,Malzemeler!C:D,2,0)</f>
        <v>2.21</v>
      </c>
      <c r="S162" s="43">
        <f t="shared" si="11"/>
        <v>5.6399199999999992</v>
      </c>
    </row>
    <row r="163" spans="1:19" x14ac:dyDescent="0.35">
      <c r="A163" s="102" t="s">
        <v>720</v>
      </c>
      <c r="B163" s="1">
        <v>32</v>
      </c>
      <c r="C163" s="1" t="s">
        <v>572</v>
      </c>
      <c r="D163" s="1" t="s">
        <v>698</v>
      </c>
      <c r="E163" s="1" t="s">
        <v>698</v>
      </c>
      <c r="F163" s="1" t="s">
        <v>698</v>
      </c>
      <c r="G163" s="1" t="s">
        <v>698</v>
      </c>
      <c r="H163" s="1">
        <v>1</v>
      </c>
      <c r="I163" s="1" t="s">
        <v>698</v>
      </c>
      <c r="J163" s="1">
        <f t="shared" ref="J163:J168" si="13">SUBTOTAL(103,B163)</f>
        <v>1</v>
      </c>
      <c r="L163" s="1" t="s">
        <v>726</v>
      </c>
      <c r="M163" s="18">
        <v>1</v>
      </c>
      <c r="N163" s="1" t="s">
        <v>560</v>
      </c>
      <c r="O163" s="3" t="s">
        <v>192</v>
      </c>
      <c r="P163" s="3" t="s">
        <v>14</v>
      </c>
      <c r="Q163" s="11">
        <v>1</v>
      </c>
      <c r="R163" s="43">
        <f>VLOOKUP('32'!O163,Malzemeler!C:D,2,0)</f>
        <v>410</v>
      </c>
      <c r="S163" s="43">
        <f t="shared" si="11"/>
        <v>410</v>
      </c>
    </row>
    <row r="164" spans="1:19" x14ac:dyDescent="0.35">
      <c r="A164" s="98"/>
      <c r="B164" s="1">
        <v>32</v>
      </c>
      <c r="C164" s="1" t="s">
        <v>573</v>
      </c>
      <c r="D164" s="1" t="s">
        <v>698</v>
      </c>
      <c r="E164" s="1" t="s">
        <v>698</v>
      </c>
      <c r="F164" s="1" t="s">
        <v>698</v>
      </c>
      <c r="G164" s="1" t="s">
        <v>698</v>
      </c>
      <c r="H164" s="1">
        <v>1</v>
      </c>
      <c r="I164" s="1" t="s">
        <v>698</v>
      </c>
      <c r="J164" s="1">
        <f>SUBTOTAL(103,B164)</f>
        <v>1</v>
      </c>
      <c r="L164" s="1" t="s">
        <v>727</v>
      </c>
      <c r="M164" s="27">
        <v>1</v>
      </c>
      <c r="N164" s="28" t="s">
        <v>560</v>
      </c>
      <c r="O164" s="29" t="s">
        <v>701</v>
      </c>
      <c r="P164" s="29" t="s">
        <v>14</v>
      </c>
      <c r="Q164" s="30">
        <v>1</v>
      </c>
      <c r="R164" s="43" t="e">
        <f>VLOOKUP('32'!O164,Malzemeler!C:D,2,0)</f>
        <v>#N/A</v>
      </c>
      <c r="S164" s="43" t="e">
        <f>+R164*Q164</f>
        <v>#N/A</v>
      </c>
    </row>
    <row r="165" spans="1:19" x14ac:dyDescent="0.35">
      <c r="A165" s="102"/>
      <c r="B165" s="1">
        <v>32</v>
      </c>
      <c r="C165" s="1" t="s">
        <v>698</v>
      </c>
      <c r="D165" s="1" t="s">
        <v>698</v>
      </c>
      <c r="E165" s="1" t="s">
        <v>698</v>
      </c>
      <c r="F165" s="1" t="s">
        <v>698</v>
      </c>
      <c r="G165" s="1" t="s">
        <v>698</v>
      </c>
      <c r="H165" s="1">
        <v>1</v>
      </c>
      <c r="I165" s="1" t="s">
        <v>698</v>
      </c>
      <c r="J165" s="1">
        <f t="shared" si="13"/>
        <v>1</v>
      </c>
      <c r="L165" s="1" t="s">
        <v>726</v>
      </c>
      <c r="M165" s="18">
        <v>2</v>
      </c>
      <c r="N165" s="1" t="s">
        <v>301</v>
      </c>
      <c r="O165" s="3" t="s">
        <v>302</v>
      </c>
      <c r="P165" s="3" t="s">
        <v>14</v>
      </c>
      <c r="Q165" s="11">
        <v>1</v>
      </c>
      <c r="R165" s="43">
        <f>VLOOKUP('32'!O165,Malzemeler!C:D,2,0)</f>
        <v>75.899999999999991</v>
      </c>
      <c r="S165" s="43">
        <f t="shared" si="11"/>
        <v>75.899999999999991</v>
      </c>
    </row>
    <row r="166" spans="1:19" x14ac:dyDescent="0.35">
      <c r="A166" s="102"/>
      <c r="B166" s="1">
        <v>32</v>
      </c>
      <c r="C166" s="1" t="s">
        <v>698</v>
      </c>
      <c r="D166" s="1" t="s">
        <v>698</v>
      </c>
      <c r="E166" s="1" t="s">
        <v>698</v>
      </c>
      <c r="F166" s="1" t="s">
        <v>698</v>
      </c>
      <c r="G166" s="1" t="s">
        <v>698</v>
      </c>
      <c r="H166" s="1">
        <v>1</v>
      </c>
      <c r="I166" s="1" t="s">
        <v>698</v>
      </c>
      <c r="J166" s="1">
        <f t="shared" si="13"/>
        <v>1</v>
      </c>
      <c r="L166" s="1" t="s">
        <v>726</v>
      </c>
      <c r="M166" s="18">
        <v>3</v>
      </c>
      <c r="N166" s="1" t="s">
        <v>54</v>
      </c>
      <c r="O166" s="3" t="s">
        <v>57</v>
      </c>
      <c r="P166" s="3" t="s">
        <v>14</v>
      </c>
      <c r="Q166" s="11">
        <v>1</v>
      </c>
      <c r="R166" s="43">
        <f>VLOOKUP('32'!O166,Malzemeler!C:D,2,0)</f>
        <v>77.55</v>
      </c>
      <c r="S166" s="43">
        <f t="shared" si="11"/>
        <v>77.55</v>
      </c>
    </row>
    <row r="167" spans="1:19" x14ac:dyDescent="0.35">
      <c r="A167" s="102"/>
      <c r="B167" s="1">
        <v>32</v>
      </c>
      <c r="C167" s="1" t="s">
        <v>698</v>
      </c>
      <c r="D167" s="1" t="s">
        <v>698</v>
      </c>
      <c r="E167" s="1" t="s">
        <v>698</v>
      </c>
      <c r="F167" s="1" t="s">
        <v>698</v>
      </c>
      <c r="G167" s="1" t="s">
        <v>698</v>
      </c>
      <c r="H167" s="1">
        <v>1</v>
      </c>
      <c r="I167" s="1" t="s">
        <v>698</v>
      </c>
      <c r="J167" s="1">
        <f t="shared" si="13"/>
        <v>1</v>
      </c>
      <c r="L167" s="1" t="s">
        <v>726</v>
      </c>
      <c r="M167" s="18">
        <v>4</v>
      </c>
      <c r="N167" s="5" t="s">
        <v>593</v>
      </c>
      <c r="O167" s="3" t="s">
        <v>592</v>
      </c>
      <c r="P167" s="3" t="s">
        <v>14</v>
      </c>
      <c r="Q167" s="3">
        <v>1</v>
      </c>
      <c r="R167" s="43">
        <f>VLOOKUP('32'!O167,Malzemeler!C:D,2,0)</f>
        <v>0</v>
      </c>
      <c r="S167" s="43">
        <f t="shared" si="11"/>
        <v>0</v>
      </c>
    </row>
    <row r="168" spans="1:19" ht="43.2" customHeight="1" x14ac:dyDescent="0.35">
      <c r="A168" s="37" t="s">
        <v>721</v>
      </c>
      <c r="B168" s="1">
        <v>32</v>
      </c>
      <c r="C168" s="1" t="s">
        <v>698</v>
      </c>
      <c r="D168" s="1" t="s">
        <v>698</v>
      </c>
      <c r="E168" s="1" t="s">
        <v>698</v>
      </c>
      <c r="F168" s="1" t="s">
        <v>698</v>
      </c>
      <c r="G168" s="1" t="s">
        <v>698</v>
      </c>
      <c r="H168" s="1" t="s">
        <v>698</v>
      </c>
      <c r="I168" s="1">
        <v>1</v>
      </c>
      <c r="J168" s="1">
        <f t="shared" si="13"/>
        <v>1</v>
      </c>
      <c r="L168" s="1" t="s">
        <v>721</v>
      </c>
      <c r="M168" s="7">
        <v>1</v>
      </c>
      <c r="N168" s="5" t="s">
        <v>668</v>
      </c>
      <c r="O168" s="3" t="s">
        <v>669</v>
      </c>
      <c r="P168" s="3" t="s">
        <v>14</v>
      </c>
      <c r="Q168" s="3">
        <v>1</v>
      </c>
      <c r="R168" s="43">
        <f>VLOOKUP('32'!O168,Malzemeler!C:D,2,0)</f>
        <v>0</v>
      </c>
      <c r="S168" s="43">
        <f t="shared" si="11"/>
        <v>0</v>
      </c>
    </row>
  </sheetData>
  <mergeCells count="6">
    <mergeCell ref="A163:A167"/>
    <mergeCell ref="A146:A162"/>
    <mergeCell ref="W1:AA1"/>
    <mergeCell ref="A125:A145"/>
    <mergeCell ref="A3:A91"/>
    <mergeCell ref="A92:A12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2770E-8D32-4DFA-B4E3-92262EA9B809}">
  <sheetPr codeName="Sayfa9"/>
  <dimension ref="A1:T164"/>
  <sheetViews>
    <sheetView topLeftCell="F121" zoomScale="85" zoomScaleNormal="85" workbookViewId="0">
      <selection activeCell="O130" sqref="O130"/>
    </sheetView>
  </sheetViews>
  <sheetFormatPr defaultColWidth="8.6640625" defaultRowHeight="15" x14ac:dyDescent="0.35"/>
  <cols>
    <col min="1" max="1" width="5.21875" style="1" customWidth="1"/>
    <col min="2" max="2" width="6.6640625" style="1" bestFit="1" customWidth="1"/>
    <col min="3" max="3" width="5.5546875" style="1" bestFit="1" customWidth="1"/>
    <col min="4" max="4" width="13.77734375" style="1" bestFit="1" customWidth="1"/>
    <col min="5" max="5" width="11.5546875" style="1" bestFit="1" customWidth="1"/>
    <col min="6" max="6" width="16.77734375" style="1" bestFit="1" customWidth="1"/>
    <col min="7" max="7" width="9.6640625" style="1" bestFit="1" customWidth="1"/>
    <col min="8" max="8" width="8.44140625" style="1" bestFit="1" customWidth="1"/>
    <col min="9" max="9" width="6.77734375" style="1" bestFit="1" customWidth="1"/>
    <col min="10" max="10" width="2.21875" style="1" bestFit="1" customWidth="1"/>
    <col min="11" max="11" width="5.21875" style="1" customWidth="1"/>
    <col min="12" max="12" width="27" style="1" bestFit="1" customWidth="1"/>
    <col min="13" max="13" width="4.21875" style="2" customWidth="1"/>
    <col min="14" max="14" width="96.88671875" style="1" bestFit="1" customWidth="1"/>
    <col min="15" max="15" width="30.5546875" style="3" customWidth="1"/>
    <col min="16" max="16" width="6.88671875" style="3" customWidth="1"/>
    <col min="17" max="17" width="8.88671875" style="3" customWidth="1"/>
    <col min="18" max="18" width="17.109375" style="1" bestFit="1" customWidth="1"/>
    <col min="19" max="19" width="14.88671875" style="1" bestFit="1" customWidth="1"/>
    <col min="20" max="20" width="9.109375" style="1" customWidth="1"/>
    <col min="21" max="21" width="7.6640625" style="1" customWidth="1"/>
    <col min="22" max="22" width="4.21875" style="1" bestFit="1" customWidth="1"/>
    <col min="23" max="23" width="32.6640625" style="1" bestFit="1" customWidth="1"/>
    <col min="24" max="24" width="18" style="1" bestFit="1" customWidth="1"/>
    <col min="25" max="25" width="7.21875" style="1" bestFit="1" customWidth="1"/>
    <col min="26" max="26" width="9.109375" style="1" bestFit="1" customWidth="1"/>
    <col min="27" max="16384" width="8.6640625" style="1"/>
  </cols>
  <sheetData>
    <row r="1" spans="1:19" x14ac:dyDescent="0.35">
      <c r="B1" s="5" t="s">
        <v>493</v>
      </c>
      <c r="C1" s="5" t="s">
        <v>571</v>
      </c>
      <c r="D1" s="5" t="s">
        <v>569</v>
      </c>
      <c r="E1" s="5" t="s">
        <v>570</v>
      </c>
      <c r="F1" s="5" t="s">
        <v>581</v>
      </c>
      <c r="G1" s="5" t="s">
        <v>599</v>
      </c>
      <c r="H1" s="5" t="s">
        <v>600</v>
      </c>
      <c r="I1" s="5" t="s">
        <v>601</v>
      </c>
      <c r="N1" s="9" t="s">
        <v>703</v>
      </c>
    </row>
    <row r="2" spans="1:19" x14ac:dyDescent="0.35">
      <c r="B2" s="1">
        <v>42</v>
      </c>
      <c r="C2" s="1" t="s">
        <v>698</v>
      </c>
      <c r="D2" s="1" t="s">
        <v>698</v>
      </c>
      <c r="E2" s="1" t="s">
        <v>698</v>
      </c>
      <c r="F2" s="1" t="s">
        <v>698</v>
      </c>
      <c r="G2" s="1" t="s">
        <v>698</v>
      </c>
      <c r="H2" s="1" t="s">
        <v>698</v>
      </c>
      <c r="I2" s="1" t="s">
        <v>698</v>
      </c>
      <c r="J2" s="1">
        <f>SUBTOTAL(103,B2)</f>
        <v>1</v>
      </c>
      <c r="M2" s="8" t="s">
        <v>1</v>
      </c>
      <c r="N2" s="9" t="s">
        <v>2</v>
      </c>
      <c r="O2" s="9" t="s">
        <v>3</v>
      </c>
      <c r="P2" s="9" t="s">
        <v>4</v>
      </c>
      <c r="Q2" s="9" t="s">
        <v>5</v>
      </c>
      <c r="R2" s="9" t="s">
        <v>739</v>
      </c>
      <c r="S2" s="9" t="s">
        <v>740</v>
      </c>
    </row>
    <row r="3" spans="1:19" ht="15" customHeight="1" x14ac:dyDescent="0.35">
      <c r="A3" s="104" t="s">
        <v>723</v>
      </c>
      <c r="B3" s="1">
        <v>42</v>
      </c>
      <c r="C3" s="1" t="s">
        <v>698</v>
      </c>
      <c r="D3" s="1" t="s">
        <v>698</v>
      </c>
      <c r="E3" s="1" t="s">
        <v>698</v>
      </c>
      <c r="F3" s="1" t="s">
        <v>698</v>
      </c>
      <c r="G3" s="1" t="s">
        <v>698</v>
      </c>
      <c r="H3" s="1" t="s">
        <v>698</v>
      </c>
      <c r="I3" s="1" t="s">
        <v>698</v>
      </c>
      <c r="J3" s="1">
        <f>SUBTOTAL(103,B3)</f>
        <v>1</v>
      </c>
      <c r="L3" s="1" t="s">
        <v>723</v>
      </c>
      <c r="M3" s="7">
        <v>1</v>
      </c>
      <c r="N3" s="5" t="s">
        <v>358</v>
      </c>
      <c r="O3" s="3" t="s">
        <v>359</v>
      </c>
      <c r="P3" s="3" t="s">
        <v>14</v>
      </c>
      <c r="Q3" s="3">
        <v>1</v>
      </c>
      <c r="R3" s="43">
        <f>VLOOKUP('42'!O3,Malzemeler!C:D,2,0)</f>
        <v>1526.45</v>
      </c>
      <c r="S3" s="43">
        <f>+R3*Q3</f>
        <v>1526.45</v>
      </c>
    </row>
    <row r="4" spans="1:19" x14ac:dyDescent="0.35">
      <c r="A4" s="104"/>
      <c r="B4" s="1">
        <v>42</v>
      </c>
      <c r="C4" s="1" t="s">
        <v>698</v>
      </c>
      <c r="D4" s="1" t="s">
        <v>698</v>
      </c>
      <c r="E4" s="1" t="s">
        <v>698</v>
      </c>
      <c r="F4" s="1" t="s">
        <v>698</v>
      </c>
      <c r="G4" s="1" t="s">
        <v>698</v>
      </c>
      <c r="H4" s="1" t="s">
        <v>698</v>
      </c>
      <c r="I4" s="1" t="s">
        <v>698</v>
      </c>
      <c r="J4" s="1">
        <f t="shared" ref="J4:J120" si="0">SUBTOTAL(103,B4)</f>
        <v>1</v>
      </c>
      <c r="L4" s="1" t="s">
        <v>723</v>
      </c>
      <c r="M4" s="7">
        <v>2</v>
      </c>
      <c r="N4" s="5" t="s">
        <v>205</v>
      </c>
      <c r="O4" s="3" t="s">
        <v>552</v>
      </c>
      <c r="P4" s="3" t="s">
        <v>14</v>
      </c>
      <c r="Q4" s="3">
        <v>1</v>
      </c>
      <c r="R4" s="43">
        <f>VLOOKUP('42'!O4,Malzemeler!C:D,2,0)</f>
        <v>45.916499999999999</v>
      </c>
      <c r="S4" s="43">
        <f t="shared" ref="S4:S66" si="1">+R4*Q4</f>
        <v>45.916499999999999</v>
      </c>
    </row>
    <row r="5" spans="1:19" x14ac:dyDescent="0.35">
      <c r="A5" s="104"/>
      <c r="B5" s="1">
        <v>42</v>
      </c>
      <c r="C5" s="1" t="s">
        <v>698</v>
      </c>
      <c r="D5" s="1" t="s">
        <v>698</v>
      </c>
      <c r="E5" s="1" t="s">
        <v>698</v>
      </c>
      <c r="F5" s="1" t="s">
        <v>698</v>
      </c>
      <c r="G5" s="1" t="s">
        <v>698</v>
      </c>
      <c r="H5" s="1" t="s">
        <v>698</v>
      </c>
      <c r="I5" s="1" t="s">
        <v>698</v>
      </c>
      <c r="J5" s="1">
        <f t="shared" si="0"/>
        <v>1</v>
      </c>
      <c r="L5" s="1" t="s">
        <v>723</v>
      </c>
      <c r="M5" s="7">
        <v>3</v>
      </c>
      <c r="N5" s="5" t="s">
        <v>360</v>
      </c>
      <c r="O5" s="3" t="s">
        <v>506</v>
      </c>
      <c r="P5" s="3" t="s">
        <v>14</v>
      </c>
      <c r="Q5" s="3">
        <v>1</v>
      </c>
      <c r="R5" s="43">
        <f>VLOOKUP('42'!O5,Malzemeler!C:D,2,0)</f>
        <v>18.8</v>
      </c>
      <c r="S5" s="43">
        <f t="shared" si="1"/>
        <v>18.8</v>
      </c>
    </row>
    <row r="6" spans="1:19" x14ac:dyDescent="0.35">
      <c r="A6" s="104"/>
      <c r="B6" s="1">
        <v>42</v>
      </c>
      <c r="C6" s="1" t="s">
        <v>698</v>
      </c>
      <c r="D6" s="1" t="s">
        <v>698</v>
      </c>
      <c r="E6" s="1" t="s">
        <v>698</v>
      </c>
      <c r="F6" s="1" t="s">
        <v>698</v>
      </c>
      <c r="G6" s="1" t="s">
        <v>698</v>
      </c>
      <c r="H6" s="1" t="s">
        <v>698</v>
      </c>
      <c r="I6" s="1" t="s">
        <v>698</v>
      </c>
      <c r="J6" s="1">
        <f t="shared" si="0"/>
        <v>1</v>
      </c>
      <c r="L6" s="1" t="s">
        <v>723</v>
      </c>
      <c r="M6" s="7">
        <v>4</v>
      </c>
      <c r="N6" s="5" t="s">
        <v>361</v>
      </c>
      <c r="O6" s="3" t="s">
        <v>512</v>
      </c>
      <c r="P6" s="3" t="s">
        <v>14</v>
      </c>
      <c r="Q6" s="3">
        <v>1</v>
      </c>
      <c r="R6" s="43">
        <f>VLOOKUP('42'!O6,Malzemeler!C:D,2,0)</f>
        <v>25.5</v>
      </c>
      <c r="S6" s="43">
        <f t="shared" si="1"/>
        <v>25.5</v>
      </c>
    </row>
    <row r="7" spans="1:19" x14ac:dyDescent="0.35">
      <c r="A7" s="104"/>
      <c r="B7" s="1">
        <v>42</v>
      </c>
      <c r="C7" s="1" t="s">
        <v>698</v>
      </c>
      <c r="D7" s="1" t="s">
        <v>698</v>
      </c>
      <c r="E7" s="1" t="s">
        <v>698</v>
      </c>
      <c r="F7" s="1" t="s">
        <v>698</v>
      </c>
      <c r="G7" s="1" t="s">
        <v>698</v>
      </c>
      <c r="H7" s="1" t="s">
        <v>698</v>
      </c>
      <c r="I7" s="1" t="s">
        <v>698</v>
      </c>
      <c r="J7" s="1">
        <f t="shared" si="0"/>
        <v>1</v>
      </c>
      <c r="L7" s="1" t="s">
        <v>723</v>
      </c>
      <c r="M7" s="7">
        <v>5</v>
      </c>
      <c r="N7" s="5" t="s">
        <v>362</v>
      </c>
      <c r="O7" s="3" t="s">
        <v>518</v>
      </c>
      <c r="P7" s="3" t="s">
        <v>14</v>
      </c>
      <c r="Q7" s="3">
        <v>1</v>
      </c>
      <c r="R7" s="43">
        <f>VLOOKUP('42'!O7,Malzemeler!C:D,2,0)</f>
        <v>26.2</v>
      </c>
      <c r="S7" s="43">
        <f t="shared" si="1"/>
        <v>26.2</v>
      </c>
    </row>
    <row r="8" spans="1:19" x14ac:dyDescent="0.35">
      <c r="A8" s="104"/>
      <c r="B8" s="1">
        <v>42</v>
      </c>
      <c r="C8" s="1" t="s">
        <v>698</v>
      </c>
      <c r="D8" s="1" t="s">
        <v>698</v>
      </c>
      <c r="E8" s="1" t="s">
        <v>698</v>
      </c>
      <c r="F8" s="1" t="s">
        <v>698</v>
      </c>
      <c r="G8" s="1" t="s">
        <v>698</v>
      </c>
      <c r="H8" s="1" t="s">
        <v>698</v>
      </c>
      <c r="I8" s="1" t="s">
        <v>698</v>
      </c>
      <c r="J8" s="1">
        <f t="shared" si="0"/>
        <v>1</v>
      </c>
      <c r="L8" s="1" t="s">
        <v>723</v>
      </c>
      <c r="M8" s="7">
        <v>6</v>
      </c>
      <c r="N8" s="5" t="s">
        <v>708</v>
      </c>
      <c r="O8" s="3" t="s">
        <v>709</v>
      </c>
      <c r="P8" s="3" t="s">
        <v>14</v>
      </c>
      <c r="Q8" s="3">
        <v>1</v>
      </c>
      <c r="R8" s="43">
        <f>VLOOKUP('42'!O8,Malzemeler!C:D,2,0)</f>
        <v>0</v>
      </c>
      <c r="S8" s="43">
        <f t="shared" si="1"/>
        <v>0</v>
      </c>
    </row>
    <row r="9" spans="1:19" x14ac:dyDescent="0.35">
      <c r="A9" s="104"/>
      <c r="B9" s="1">
        <v>42</v>
      </c>
      <c r="C9" s="1" t="s">
        <v>698</v>
      </c>
      <c r="D9" s="1" t="s">
        <v>698</v>
      </c>
      <c r="E9" s="1" t="s">
        <v>698</v>
      </c>
      <c r="F9" s="1" t="s">
        <v>698</v>
      </c>
      <c r="G9" s="1" t="s">
        <v>698</v>
      </c>
      <c r="H9" s="1" t="s">
        <v>698</v>
      </c>
      <c r="I9" s="1" t="s">
        <v>698</v>
      </c>
      <c r="J9" s="1">
        <f t="shared" si="0"/>
        <v>1</v>
      </c>
      <c r="L9" s="1" t="s">
        <v>723</v>
      </c>
      <c r="M9" s="7">
        <v>7</v>
      </c>
      <c r="N9" s="1" t="s">
        <v>160</v>
      </c>
      <c r="O9" s="3" t="s">
        <v>73</v>
      </c>
      <c r="P9" s="3" t="s">
        <v>14</v>
      </c>
      <c r="Q9" s="3">
        <v>3</v>
      </c>
      <c r="R9" s="43">
        <f>VLOOKUP('42'!O9,Malzemeler!C:D,2,0)</f>
        <v>9.65</v>
      </c>
      <c r="S9" s="43">
        <f t="shared" si="1"/>
        <v>28.950000000000003</v>
      </c>
    </row>
    <row r="10" spans="1:19" x14ac:dyDescent="0.35">
      <c r="A10" s="104"/>
      <c r="B10" s="1">
        <v>42</v>
      </c>
      <c r="C10" s="1" t="s">
        <v>698</v>
      </c>
      <c r="D10" s="1" t="s">
        <v>698</v>
      </c>
      <c r="E10" s="1" t="s">
        <v>698</v>
      </c>
      <c r="F10" s="1" t="s">
        <v>698</v>
      </c>
      <c r="G10" s="1" t="s">
        <v>698</v>
      </c>
      <c r="H10" s="1" t="s">
        <v>698</v>
      </c>
      <c r="I10" s="1" t="s">
        <v>698</v>
      </c>
      <c r="J10" s="1">
        <f t="shared" si="0"/>
        <v>1</v>
      </c>
      <c r="L10" s="1" t="s">
        <v>723</v>
      </c>
      <c r="M10" s="7">
        <v>8</v>
      </c>
      <c r="N10" s="1" t="s">
        <v>278</v>
      </c>
      <c r="O10" s="3" t="s">
        <v>74</v>
      </c>
      <c r="P10" s="3" t="s">
        <v>14</v>
      </c>
      <c r="Q10" s="3">
        <v>3</v>
      </c>
      <c r="R10" s="43">
        <f>VLOOKUP('42'!O10,Malzemeler!C:D,2,0)</f>
        <v>16.149999999999999</v>
      </c>
      <c r="S10" s="43">
        <f t="shared" si="1"/>
        <v>48.449999999999996</v>
      </c>
    </row>
    <row r="11" spans="1:19" x14ac:dyDescent="0.35">
      <c r="A11" s="104"/>
      <c r="B11" s="1">
        <v>42</v>
      </c>
      <c r="C11" s="1" t="s">
        <v>698</v>
      </c>
      <c r="D11" s="1" t="s">
        <v>698</v>
      </c>
      <c r="E11" s="1" t="s">
        <v>698</v>
      </c>
      <c r="F11" s="1" t="s">
        <v>698</v>
      </c>
      <c r="G11" s="1" t="s">
        <v>698</v>
      </c>
      <c r="H11" s="1" t="s">
        <v>698</v>
      </c>
      <c r="I11" s="1" t="s">
        <v>698</v>
      </c>
      <c r="J11" s="1">
        <f t="shared" si="0"/>
        <v>1</v>
      </c>
      <c r="L11" s="1" t="s">
        <v>723</v>
      </c>
      <c r="M11" s="7">
        <v>9</v>
      </c>
      <c r="N11" s="5" t="s">
        <v>446</v>
      </c>
      <c r="O11" s="3" t="s">
        <v>399</v>
      </c>
      <c r="P11" s="3" t="s">
        <v>14</v>
      </c>
      <c r="Q11" s="3">
        <v>3</v>
      </c>
      <c r="R11" s="43">
        <f>VLOOKUP('42'!O11,Malzemeler!C:D,2,0)</f>
        <v>26.5</v>
      </c>
      <c r="S11" s="43">
        <f t="shared" si="1"/>
        <v>79.5</v>
      </c>
    </row>
    <row r="12" spans="1:19" x14ac:dyDescent="0.35">
      <c r="A12" s="104"/>
      <c r="B12" s="1">
        <v>42</v>
      </c>
      <c r="C12" s="1" t="s">
        <v>698</v>
      </c>
      <c r="D12" s="1" t="s">
        <v>698</v>
      </c>
      <c r="E12" s="1" t="s">
        <v>698</v>
      </c>
      <c r="F12" s="1" t="s">
        <v>698</v>
      </c>
      <c r="G12" s="1" t="s">
        <v>698</v>
      </c>
      <c r="H12" s="1" t="s">
        <v>698</v>
      </c>
      <c r="I12" s="1" t="s">
        <v>698</v>
      </c>
      <c r="J12" s="1">
        <f t="shared" si="0"/>
        <v>1</v>
      </c>
      <c r="L12" s="1" t="s">
        <v>723</v>
      </c>
      <c r="M12" s="7">
        <v>10</v>
      </c>
      <c r="N12" s="1" t="s">
        <v>279</v>
      </c>
      <c r="O12" s="3" t="s">
        <v>280</v>
      </c>
      <c r="P12" s="3" t="s">
        <v>14</v>
      </c>
      <c r="Q12" s="3">
        <v>4</v>
      </c>
      <c r="R12" s="43">
        <f>VLOOKUP('42'!O12,Malzemeler!C:D,2,0)</f>
        <v>0.3</v>
      </c>
      <c r="S12" s="43">
        <f t="shared" si="1"/>
        <v>1.2</v>
      </c>
    </row>
    <row r="13" spans="1:19" x14ac:dyDescent="0.35">
      <c r="A13" s="104"/>
      <c r="B13" s="1">
        <v>42</v>
      </c>
      <c r="C13" s="1" t="s">
        <v>698</v>
      </c>
      <c r="D13" s="1" t="s">
        <v>698</v>
      </c>
      <c r="E13" s="1" t="s">
        <v>698</v>
      </c>
      <c r="F13" s="1" t="s">
        <v>698</v>
      </c>
      <c r="G13" s="1" t="s">
        <v>698</v>
      </c>
      <c r="H13" s="1" t="s">
        <v>698</v>
      </c>
      <c r="I13" s="1" t="s">
        <v>698</v>
      </c>
      <c r="J13" s="1">
        <f t="shared" si="0"/>
        <v>1</v>
      </c>
      <c r="L13" s="1" t="s">
        <v>723</v>
      </c>
      <c r="M13" s="7">
        <v>11</v>
      </c>
      <c r="N13" s="1" t="s">
        <v>376</v>
      </c>
      <c r="O13" s="3" t="s">
        <v>377</v>
      </c>
      <c r="P13" s="3" t="s">
        <v>14</v>
      </c>
      <c r="Q13" s="3">
        <v>2</v>
      </c>
      <c r="R13" s="43">
        <f>VLOOKUP('42'!O13,Malzemeler!C:D,2,0)</f>
        <v>0.6</v>
      </c>
      <c r="S13" s="43">
        <f t="shared" si="1"/>
        <v>1.2</v>
      </c>
    </row>
    <row r="14" spans="1:19" x14ac:dyDescent="0.35">
      <c r="A14" s="104"/>
      <c r="B14" s="1">
        <v>42</v>
      </c>
      <c r="C14" s="1" t="s">
        <v>698</v>
      </c>
      <c r="D14" s="1" t="s">
        <v>698</v>
      </c>
      <c r="E14" s="1" t="s">
        <v>698</v>
      </c>
      <c r="F14" s="1" t="s">
        <v>698</v>
      </c>
      <c r="G14" s="1" t="s">
        <v>698</v>
      </c>
      <c r="H14" s="1" t="s">
        <v>698</v>
      </c>
      <c r="I14" s="1" t="s">
        <v>698</v>
      </c>
      <c r="J14" s="1">
        <f t="shared" si="0"/>
        <v>1</v>
      </c>
      <c r="L14" s="1" t="s">
        <v>723</v>
      </c>
      <c r="M14" s="7">
        <v>12</v>
      </c>
      <c r="N14" s="1" t="s">
        <v>378</v>
      </c>
      <c r="O14" s="3" t="s">
        <v>379</v>
      </c>
      <c r="P14" s="3" t="s">
        <v>14</v>
      </c>
      <c r="Q14" s="3">
        <v>1</v>
      </c>
      <c r="R14" s="43">
        <f>VLOOKUP('42'!O14,Malzemeler!C:D,2,0)</f>
        <v>1.65</v>
      </c>
      <c r="S14" s="43">
        <f t="shared" si="1"/>
        <v>1.65</v>
      </c>
    </row>
    <row r="15" spans="1:19" x14ac:dyDescent="0.35">
      <c r="A15" s="104"/>
      <c r="B15" s="1">
        <v>42</v>
      </c>
      <c r="C15" s="1" t="s">
        <v>698</v>
      </c>
      <c r="D15" s="1" t="s">
        <v>698</v>
      </c>
      <c r="E15" s="1" t="s">
        <v>698</v>
      </c>
      <c r="F15" s="1" t="s">
        <v>698</v>
      </c>
      <c r="G15" s="1" t="s">
        <v>698</v>
      </c>
      <c r="H15" s="1" t="s">
        <v>698</v>
      </c>
      <c r="I15" s="1" t="s">
        <v>698</v>
      </c>
      <c r="J15" s="1">
        <f t="shared" si="0"/>
        <v>1</v>
      </c>
      <c r="L15" s="1" t="s">
        <v>723</v>
      </c>
      <c r="M15" s="7">
        <v>13</v>
      </c>
      <c r="N15" s="1" t="s">
        <v>374</v>
      </c>
      <c r="O15" s="3" t="s">
        <v>375</v>
      </c>
      <c r="P15" s="3" t="s">
        <v>135</v>
      </c>
      <c r="Q15" s="3">
        <v>5</v>
      </c>
      <c r="R15" s="43">
        <f>VLOOKUP('42'!O15,Malzemeler!C:D,2,0)</f>
        <v>0</v>
      </c>
      <c r="S15" s="43">
        <f t="shared" si="1"/>
        <v>0</v>
      </c>
    </row>
    <row r="16" spans="1:19" x14ac:dyDescent="0.35">
      <c r="A16" s="104"/>
      <c r="B16" s="1">
        <v>42</v>
      </c>
      <c r="C16" s="1" t="s">
        <v>698</v>
      </c>
      <c r="D16" s="1" t="s">
        <v>698</v>
      </c>
      <c r="E16" s="1" t="s">
        <v>698</v>
      </c>
      <c r="F16" s="1" t="s">
        <v>698</v>
      </c>
      <c r="G16" s="1" t="s">
        <v>698</v>
      </c>
      <c r="H16" s="1" t="s">
        <v>698</v>
      </c>
      <c r="I16" s="1" t="s">
        <v>698</v>
      </c>
      <c r="J16" s="1">
        <f t="shared" si="0"/>
        <v>1</v>
      </c>
      <c r="L16" s="1" t="s">
        <v>723</v>
      </c>
      <c r="M16" s="7">
        <v>14</v>
      </c>
      <c r="N16" s="5" t="s">
        <v>87</v>
      </c>
      <c r="O16" s="3" t="s">
        <v>88</v>
      </c>
      <c r="P16" s="3" t="s">
        <v>14</v>
      </c>
      <c r="Q16" s="3">
        <v>0.3</v>
      </c>
      <c r="R16" s="43">
        <f>VLOOKUP('42'!O16,Malzemeler!C:D,2,0)</f>
        <v>1615.6</v>
      </c>
      <c r="S16" s="43">
        <f t="shared" si="1"/>
        <v>484.67999999999995</v>
      </c>
    </row>
    <row r="17" spans="1:19" x14ac:dyDescent="0.35">
      <c r="A17" s="104"/>
      <c r="B17" s="1">
        <v>42</v>
      </c>
      <c r="C17" s="1" t="s">
        <v>698</v>
      </c>
      <c r="D17" s="1" t="s">
        <v>698</v>
      </c>
      <c r="E17" s="1" t="s">
        <v>698</v>
      </c>
      <c r="F17" s="1" t="s">
        <v>698</v>
      </c>
      <c r="G17" s="1" t="s">
        <v>698</v>
      </c>
      <c r="H17" s="1" t="s">
        <v>698</v>
      </c>
      <c r="I17" s="1" t="s">
        <v>698</v>
      </c>
      <c r="J17" s="1">
        <f t="shared" si="0"/>
        <v>1</v>
      </c>
      <c r="L17" s="1" t="s">
        <v>723</v>
      </c>
      <c r="M17" s="7">
        <v>15</v>
      </c>
      <c r="N17" s="5" t="s">
        <v>69</v>
      </c>
      <c r="O17" s="3" t="s">
        <v>81</v>
      </c>
      <c r="P17" s="3" t="s">
        <v>14</v>
      </c>
      <c r="Q17" s="3">
        <v>0.45</v>
      </c>
      <c r="R17" s="43">
        <f>VLOOKUP('42'!O17,Malzemeler!C:D,2,0)</f>
        <v>40</v>
      </c>
      <c r="S17" s="43">
        <f t="shared" si="1"/>
        <v>18</v>
      </c>
    </row>
    <row r="18" spans="1:19" x14ac:dyDescent="0.35">
      <c r="A18" s="104"/>
      <c r="B18" s="1">
        <v>42</v>
      </c>
      <c r="C18" s="1" t="s">
        <v>698</v>
      </c>
      <c r="D18" s="1" t="s">
        <v>698</v>
      </c>
      <c r="E18" s="1" t="s">
        <v>698</v>
      </c>
      <c r="F18" s="1" t="s">
        <v>698</v>
      </c>
      <c r="G18" s="1" t="s">
        <v>698</v>
      </c>
      <c r="H18" s="1" t="s">
        <v>698</v>
      </c>
      <c r="I18" s="1" t="s">
        <v>698</v>
      </c>
      <c r="J18" s="1">
        <f t="shared" si="0"/>
        <v>1</v>
      </c>
      <c r="L18" s="1" t="s">
        <v>723</v>
      </c>
      <c r="M18" s="7">
        <v>16</v>
      </c>
      <c r="N18" s="5" t="s">
        <v>89</v>
      </c>
      <c r="O18" s="3" t="s">
        <v>75</v>
      </c>
      <c r="P18" s="3" t="s">
        <v>14</v>
      </c>
      <c r="Q18" s="3">
        <v>0.2</v>
      </c>
      <c r="R18" s="43">
        <f>VLOOKUP('42'!O18,Malzemeler!C:D,2,0)</f>
        <v>150</v>
      </c>
      <c r="S18" s="43">
        <f t="shared" si="1"/>
        <v>30</v>
      </c>
    </row>
    <row r="19" spans="1:19" x14ac:dyDescent="0.35">
      <c r="A19" s="104"/>
      <c r="B19" s="1">
        <v>42</v>
      </c>
      <c r="C19" s="1" t="s">
        <v>698</v>
      </c>
      <c r="D19" s="1" t="s">
        <v>698</v>
      </c>
      <c r="E19" s="1" t="s">
        <v>698</v>
      </c>
      <c r="F19" s="1" t="s">
        <v>698</v>
      </c>
      <c r="G19" s="1" t="s">
        <v>698</v>
      </c>
      <c r="H19" s="1" t="s">
        <v>698</v>
      </c>
      <c r="I19" s="1" t="s">
        <v>698</v>
      </c>
      <c r="J19" s="1">
        <f t="shared" si="0"/>
        <v>1</v>
      </c>
      <c r="L19" s="1" t="s">
        <v>723</v>
      </c>
      <c r="M19" s="7">
        <v>17</v>
      </c>
      <c r="N19" s="5" t="s">
        <v>66</v>
      </c>
      <c r="O19" s="3" t="s">
        <v>78</v>
      </c>
      <c r="P19" s="3" t="s">
        <v>14</v>
      </c>
      <c r="Q19" s="3">
        <v>0.8</v>
      </c>
      <c r="R19" s="43">
        <f>VLOOKUP('42'!O19,Malzemeler!C:D,2,0)</f>
        <v>30</v>
      </c>
      <c r="S19" s="43">
        <f t="shared" si="1"/>
        <v>24</v>
      </c>
    </row>
    <row r="20" spans="1:19" x14ac:dyDescent="0.35">
      <c r="A20" s="104"/>
      <c r="B20" s="1">
        <v>42</v>
      </c>
      <c r="C20" s="1" t="s">
        <v>698</v>
      </c>
      <c r="D20" s="1" t="s">
        <v>698</v>
      </c>
      <c r="E20" s="1" t="s">
        <v>698</v>
      </c>
      <c r="F20" s="1" t="s">
        <v>698</v>
      </c>
      <c r="G20" s="1" t="s">
        <v>698</v>
      </c>
      <c r="H20" s="1" t="s">
        <v>698</v>
      </c>
      <c r="I20" s="1" t="s">
        <v>698</v>
      </c>
      <c r="J20" s="1">
        <f t="shared" si="0"/>
        <v>1</v>
      </c>
      <c r="L20" s="1" t="s">
        <v>723</v>
      </c>
      <c r="M20" s="7">
        <v>18</v>
      </c>
      <c r="N20" s="5" t="s">
        <v>65</v>
      </c>
      <c r="O20" s="3" t="s">
        <v>77</v>
      </c>
      <c r="P20" s="3" t="s">
        <v>14</v>
      </c>
      <c r="Q20" s="3">
        <v>5</v>
      </c>
      <c r="R20" s="43">
        <f>VLOOKUP('42'!O20,Malzemeler!C:D,2,0)</f>
        <v>150</v>
      </c>
      <c r="S20" s="43">
        <f t="shared" si="1"/>
        <v>750</v>
      </c>
    </row>
    <row r="21" spans="1:19" x14ac:dyDescent="0.35">
      <c r="A21" s="104"/>
      <c r="B21" s="1">
        <v>42</v>
      </c>
      <c r="C21" s="1" t="s">
        <v>698</v>
      </c>
      <c r="D21" s="1" t="s">
        <v>698</v>
      </c>
      <c r="E21" s="1" t="s">
        <v>698</v>
      </c>
      <c r="F21" s="1" t="s">
        <v>698</v>
      </c>
      <c r="G21" s="1" t="s">
        <v>698</v>
      </c>
      <c r="H21" s="1" t="s">
        <v>698</v>
      </c>
      <c r="I21" s="1" t="s">
        <v>698</v>
      </c>
      <c r="J21" s="1">
        <f t="shared" si="0"/>
        <v>1</v>
      </c>
      <c r="L21" s="1" t="s">
        <v>723</v>
      </c>
      <c r="M21" s="7">
        <v>19</v>
      </c>
      <c r="N21" s="5" t="s">
        <v>368</v>
      </c>
      <c r="O21" s="3" t="s">
        <v>369</v>
      </c>
      <c r="P21" s="3" t="s">
        <v>14</v>
      </c>
      <c r="Q21" s="3">
        <v>2</v>
      </c>
      <c r="R21" s="43">
        <f>VLOOKUP('42'!O21,Malzemeler!C:D,2,0)</f>
        <v>574.29999999999995</v>
      </c>
      <c r="S21" s="43">
        <f t="shared" si="1"/>
        <v>1148.5999999999999</v>
      </c>
    </row>
    <row r="22" spans="1:19" x14ac:dyDescent="0.35">
      <c r="A22" s="104"/>
      <c r="B22" s="1">
        <v>42</v>
      </c>
      <c r="C22" s="1" t="s">
        <v>698</v>
      </c>
      <c r="D22" s="1" t="s">
        <v>698</v>
      </c>
      <c r="E22" s="1" t="s">
        <v>698</v>
      </c>
      <c r="F22" s="1" t="s">
        <v>698</v>
      </c>
      <c r="G22" s="1" t="s">
        <v>698</v>
      </c>
      <c r="H22" s="1" t="s">
        <v>698</v>
      </c>
      <c r="I22" s="1" t="s">
        <v>698</v>
      </c>
      <c r="J22" s="1">
        <f t="shared" si="0"/>
        <v>1</v>
      </c>
      <c r="L22" s="1" t="s">
        <v>723</v>
      </c>
      <c r="M22" s="7">
        <v>20</v>
      </c>
      <c r="N22" s="5" t="s">
        <v>293</v>
      </c>
      <c r="O22" s="3" t="s">
        <v>294</v>
      </c>
      <c r="P22" s="3" t="s">
        <v>14</v>
      </c>
      <c r="Q22" s="3">
        <v>1</v>
      </c>
      <c r="R22" s="43">
        <f>VLOOKUP('42'!O22,Malzemeler!C:D,2,0)</f>
        <v>812.4</v>
      </c>
      <c r="S22" s="43">
        <f t="shared" si="1"/>
        <v>812.4</v>
      </c>
    </row>
    <row r="23" spans="1:19" x14ac:dyDescent="0.35">
      <c r="A23" s="104"/>
      <c r="B23" s="1">
        <v>42</v>
      </c>
      <c r="C23" s="1" t="s">
        <v>698</v>
      </c>
      <c r="D23" s="1" t="s">
        <v>698</v>
      </c>
      <c r="E23" s="1" t="s">
        <v>698</v>
      </c>
      <c r="F23" s="1" t="s">
        <v>698</v>
      </c>
      <c r="G23" s="1" t="s">
        <v>698</v>
      </c>
      <c r="H23" s="1" t="s">
        <v>698</v>
      </c>
      <c r="I23" s="1" t="s">
        <v>698</v>
      </c>
      <c r="J23" s="1">
        <f t="shared" si="0"/>
        <v>1</v>
      </c>
      <c r="L23" s="1" t="s">
        <v>723</v>
      </c>
      <c r="M23" s="7">
        <v>21</v>
      </c>
      <c r="N23" s="5" t="s">
        <v>363</v>
      </c>
      <c r="O23" s="3" t="s">
        <v>364</v>
      </c>
      <c r="P23" s="3" t="s">
        <v>14</v>
      </c>
      <c r="Q23" s="3">
        <v>1</v>
      </c>
      <c r="R23" s="43">
        <f>VLOOKUP('42'!O23,Malzemeler!C:D,2,0)</f>
        <v>1882.88</v>
      </c>
      <c r="S23" s="43">
        <f t="shared" si="1"/>
        <v>1882.88</v>
      </c>
    </row>
    <row r="24" spans="1:19" x14ac:dyDescent="0.35">
      <c r="A24" s="104"/>
      <c r="B24" s="1">
        <v>42</v>
      </c>
      <c r="C24" s="1" t="s">
        <v>572</v>
      </c>
      <c r="D24" s="1" t="s">
        <v>698</v>
      </c>
      <c r="E24" s="1" t="s">
        <v>698</v>
      </c>
      <c r="F24" s="1" t="s">
        <v>698</v>
      </c>
      <c r="G24" s="1" t="s">
        <v>698</v>
      </c>
      <c r="H24" s="1" t="s">
        <v>698</v>
      </c>
      <c r="I24" s="1" t="s">
        <v>698</v>
      </c>
      <c r="J24" s="1">
        <f t="shared" si="0"/>
        <v>1</v>
      </c>
      <c r="L24" s="1" t="s">
        <v>748</v>
      </c>
      <c r="M24" s="7">
        <v>22</v>
      </c>
      <c r="N24" s="1" t="s">
        <v>561</v>
      </c>
      <c r="O24" s="3" t="s">
        <v>192</v>
      </c>
      <c r="P24" s="3" t="s">
        <v>14</v>
      </c>
      <c r="Q24" s="3">
        <v>1</v>
      </c>
      <c r="R24" s="43">
        <f>VLOOKUP('42'!O24,Malzemeler!C:D,2,0)</f>
        <v>410</v>
      </c>
      <c r="S24" s="43">
        <f t="shared" si="1"/>
        <v>410</v>
      </c>
    </row>
    <row r="25" spans="1:19" x14ac:dyDescent="0.35">
      <c r="A25" s="104"/>
      <c r="B25" s="1">
        <v>42</v>
      </c>
      <c r="C25" s="1" t="s">
        <v>572</v>
      </c>
      <c r="D25" s="1" t="s">
        <v>698</v>
      </c>
      <c r="E25" s="1" t="s">
        <v>698</v>
      </c>
      <c r="F25" s="1" t="s">
        <v>698</v>
      </c>
      <c r="G25" s="1" t="s">
        <v>698</v>
      </c>
      <c r="H25" s="1" t="s">
        <v>698</v>
      </c>
      <c r="I25" s="1" t="s">
        <v>698</v>
      </c>
      <c r="J25" s="1">
        <f t="shared" si="0"/>
        <v>1</v>
      </c>
      <c r="L25" s="1" t="s">
        <v>748</v>
      </c>
      <c r="M25" s="7">
        <v>23</v>
      </c>
      <c r="N25" s="5" t="s">
        <v>365</v>
      </c>
      <c r="O25" s="3" t="s">
        <v>525</v>
      </c>
      <c r="P25" s="3" t="s">
        <v>14</v>
      </c>
      <c r="Q25" s="3">
        <v>1</v>
      </c>
      <c r="R25" s="43">
        <f>VLOOKUP('42'!O25,Malzemeler!C:D,2,0)</f>
        <v>1465</v>
      </c>
      <c r="S25" s="43">
        <f t="shared" si="1"/>
        <v>1465</v>
      </c>
    </row>
    <row r="26" spans="1:19" x14ac:dyDescent="0.35">
      <c r="A26" s="104"/>
      <c r="B26" s="1">
        <v>42</v>
      </c>
      <c r="C26" s="1" t="s">
        <v>572</v>
      </c>
      <c r="D26" s="1" t="s">
        <v>698</v>
      </c>
      <c r="E26" s="1" t="s">
        <v>698</v>
      </c>
      <c r="F26" s="1" t="s">
        <v>698</v>
      </c>
      <c r="G26" s="1" t="s">
        <v>698</v>
      </c>
      <c r="H26" s="1" t="s">
        <v>698</v>
      </c>
      <c r="I26" s="1" t="s">
        <v>698</v>
      </c>
      <c r="J26" s="1">
        <f t="shared" si="0"/>
        <v>1</v>
      </c>
      <c r="L26" s="1" t="s">
        <v>748</v>
      </c>
      <c r="M26" s="7">
        <v>24</v>
      </c>
      <c r="N26" s="5" t="s">
        <v>366</v>
      </c>
      <c r="O26" s="3" t="s">
        <v>534</v>
      </c>
      <c r="P26" s="3" t="s">
        <v>14</v>
      </c>
      <c r="Q26" s="3">
        <v>1</v>
      </c>
      <c r="R26" s="43">
        <f>VLOOKUP('42'!O26,Malzemeler!C:D,2,0)</f>
        <v>825</v>
      </c>
      <c r="S26" s="43">
        <f t="shared" si="1"/>
        <v>825</v>
      </c>
    </row>
    <row r="27" spans="1:19" x14ac:dyDescent="0.35">
      <c r="A27" s="104"/>
      <c r="B27" s="1">
        <v>42</v>
      </c>
      <c r="C27" s="1" t="s">
        <v>573</v>
      </c>
      <c r="D27" s="1" t="s">
        <v>698</v>
      </c>
      <c r="E27" s="1" t="s">
        <v>698</v>
      </c>
      <c r="F27" s="1" t="s">
        <v>698</v>
      </c>
      <c r="G27" s="1" t="s">
        <v>698</v>
      </c>
      <c r="H27" s="1" t="s">
        <v>698</v>
      </c>
      <c r="I27" s="1" t="s">
        <v>698</v>
      </c>
      <c r="J27" s="1">
        <f t="shared" ref="J27:J29" si="2">SUBTOTAL(103,B27)</f>
        <v>1</v>
      </c>
      <c r="L27" s="1" t="s">
        <v>749</v>
      </c>
      <c r="M27" s="7">
        <v>22</v>
      </c>
      <c r="N27" s="28" t="s">
        <v>561</v>
      </c>
      <c r="O27" s="3" t="s">
        <v>192</v>
      </c>
      <c r="P27" s="3" t="s">
        <v>14</v>
      </c>
      <c r="Q27" s="3">
        <v>1</v>
      </c>
      <c r="R27" s="43">
        <f>VLOOKUP('42'!O27,Malzemeler!C:D,2,0)</f>
        <v>410</v>
      </c>
      <c r="S27" s="43">
        <f t="shared" ref="S27:S29" si="3">+R27*Q27</f>
        <v>410</v>
      </c>
    </row>
    <row r="28" spans="1:19" x14ac:dyDescent="0.35">
      <c r="A28" s="104"/>
      <c r="B28" s="1">
        <v>42</v>
      </c>
      <c r="C28" s="1" t="s">
        <v>573</v>
      </c>
      <c r="D28" s="1" t="s">
        <v>698</v>
      </c>
      <c r="E28" s="1" t="s">
        <v>698</v>
      </c>
      <c r="F28" s="1" t="s">
        <v>698</v>
      </c>
      <c r="G28" s="1" t="s">
        <v>698</v>
      </c>
      <c r="H28" s="1" t="s">
        <v>698</v>
      </c>
      <c r="I28" s="1" t="s">
        <v>698</v>
      </c>
      <c r="J28" s="1">
        <f t="shared" si="2"/>
        <v>1</v>
      </c>
      <c r="L28" s="1" t="s">
        <v>749</v>
      </c>
      <c r="M28" s="7">
        <v>23</v>
      </c>
      <c r="N28" s="66" t="s">
        <v>365</v>
      </c>
      <c r="O28" s="3" t="s">
        <v>525</v>
      </c>
      <c r="P28" s="3" t="s">
        <v>14</v>
      </c>
      <c r="Q28" s="3">
        <v>1</v>
      </c>
      <c r="R28" s="43">
        <f>VLOOKUP('42'!O28,Malzemeler!C:D,2,0)</f>
        <v>1465</v>
      </c>
      <c r="S28" s="43">
        <f t="shared" si="3"/>
        <v>1465</v>
      </c>
    </row>
    <row r="29" spans="1:19" x14ac:dyDescent="0.35">
      <c r="A29" s="104"/>
      <c r="B29" s="1">
        <v>42</v>
      </c>
      <c r="C29" s="1" t="s">
        <v>573</v>
      </c>
      <c r="D29" s="1" t="s">
        <v>698</v>
      </c>
      <c r="E29" s="1" t="s">
        <v>698</v>
      </c>
      <c r="F29" s="1" t="s">
        <v>698</v>
      </c>
      <c r="G29" s="1" t="s">
        <v>698</v>
      </c>
      <c r="H29" s="1" t="s">
        <v>698</v>
      </c>
      <c r="I29" s="1" t="s">
        <v>698</v>
      </c>
      <c r="J29" s="1">
        <f t="shared" si="2"/>
        <v>1</v>
      </c>
      <c r="L29" s="1" t="s">
        <v>749</v>
      </c>
      <c r="M29" s="7">
        <v>24</v>
      </c>
      <c r="N29" s="66" t="s">
        <v>366</v>
      </c>
      <c r="O29" s="3" t="s">
        <v>534</v>
      </c>
      <c r="P29" s="3" t="s">
        <v>14</v>
      </c>
      <c r="Q29" s="3">
        <v>1</v>
      </c>
      <c r="R29" s="43">
        <f>VLOOKUP('42'!O29,Malzemeler!C:D,2,0)</f>
        <v>825</v>
      </c>
      <c r="S29" s="43">
        <f t="shared" si="3"/>
        <v>825</v>
      </c>
    </row>
    <row r="30" spans="1:19" x14ac:dyDescent="0.35">
      <c r="A30" s="104"/>
      <c r="B30" s="1">
        <v>42</v>
      </c>
      <c r="C30" s="1" t="s">
        <v>698</v>
      </c>
      <c r="D30" s="1" t="s">
        <v>698</v>
      </c>
      <c r="E30" s="1" t="s">
        <v>698</v>
      </c>
      <c r="F30" s="1" t="s">
        <v>698</v>
      </c>
      <c r="G30" s="1" t="s">
        <v>698</v>
      </c>
      <c r="H30" s="1" t="s">
        <v>698</v>
      </c>
      <c r="I30" s="1" t="s">
        <v>698</v>
      </c>
      <c r="J30" s="1">
        <f t="shared" ref="J30:J60" si="4">SUBTOTAL(103,B30)</f>
        <v>1</v>
      </c>
      <c r="L30" s="1" t="s">
        <v>723</v>
      </c>
      <c r="M30" s="7">
        <v>25</v>
      </c>
      <c r="N30" s="5" t="s">
        <v>633</v>
      </c>
      <c r="O30" s="3" t="s">
        <v>633</v>
      </c>
      <c r="P30" s="3" t="s">
        <v>14</v>
      </c>
      <c r="Q30" s="3">
        <v>8</v>
      </c>
      <c r="R30" s="43">
        <f>VLOOKUP('42'!O30,Malzemeler!C:D,2,0)</f>
        <v>0</v>
      </c>
      <c r="S30" s="43">
        <f t="shared" si="1"/>
        <v>0</v>
      </c>
    </row>
    <row r="31" spans="1:19" x14ac:dyDescent="0.35">
      <c r="A31" s="104"/>
      <c r="B31" s="1">
        <v>42</v>
      </c>
      <c r="C31" s="1" t="s">
        <v>698</v>
      </c>
      <c r="D31" s="1" t="s">
        <v>698</v>
      </c>
      <c r="E31" s="1" t="s">
        <v>698</v>
      </c>
      <c r="F31" s="1" t="s">
        <v>698</v>
      </c>
      <c r="G31" s="1" t="s">
        <v>698</v>
      </c>
      <c r="H31" s="1" t="s">
        <v>698</v>
      </c>
      <c r="I31" s="1" t="s">
        <v>698</v>
      </c>
      <c r="J31" s="1">
        <f t="shared" si="4"/>
        <v>1</v>
      </c>
      <c r="L31" s="1" t="s">
        <v>723</v>
      </c>
      <c r="M31" s="7">
        <v>26</v>
      </c>
      <c r="N31" s="5" t="s">
        <v>634</v>
      </c>
      <c r="O31" s="3" t="s">
        <v>634</v>
      </c>
      <c r="P31" s="3" t="s">
        <v>14</v>
      </c>
      <c r="Q31" s="13">
        <v>20</v>
      </c>
      <c r="R31" s="43">
        <f>VLOOKUP('42'!O31,Malzemeler!C:D,2,0)</f>
        <v>0</v>
      </c>
      <c r="S31" s="43">
        <f t="shared" si="1"/>
        <v>0</v>
      </c>
    </row>
    <row r="32" spans="1:19" x14ac:dyDescent="0.35">
      <c r="A32" s="104"/>
      <c r="B32" s="1">
        <v>42</v>
      </c>
      <c r="C32" s="1" t="s">
        <v>698</v>
      </c>
      <c r="D32" s="1" t="s">
        <v>698</v>
      </c>
      <c r="E32" s="1" t="s">
        <v>698</v>
      </c>
      <c r="F32" s="1" t="s">
        <v>698</v>
      </c>
      <c r="G32" s="1" t="s">
        <v>698</v>
      </c>
      <c r="H32" s="1" t="s">
        <v>698</v>
      </c>
      <c r="I32" s="1" t="s">
        <v>698</v>
      </c>
      <c r="J32" s="1">
        <f t="shared" si="4"/>
        <v>1</v>
      </c>
      <c r="L32" s="1" t="s">
        <v>723</v>
      </c>
      <c r="M32" s="7">
        <v>27</v>
      </c>
      <c r="N32" s="5" t="s">
        <v>635</v>
      </c>
      <c r="O32" s="3" t="s">
        <v>635</v>
      </c>
      <c r="P32" s="3" t="s">
        <v>14</v>
      </c>
      <c r="Q32" s="13">
        <v>16</v>
      </c>
      <c r="R32" s="43">
        <f>VLOOKUP('42'!O32,Malzemeler!C:D,2,0)</f>
        <v>0</v>
      </c>
      <c r="S32" s="43">
        <f t="shared" si="1"/>
        <v>0</v>
      </c>
    </row>
    <row r="33" spans="1:19" x14ac:dyDescent="0.35">
      <c r="A33" s="104"/>
      <c r="B33" s="1">
        <v>42</v>
      </c>
      <c r="C33" s="1" t="s">
        <v>698</v>
      </c>
      <c r="D33" s="1" t="s">
        <v>698</v>
      </c>
      <c r="E33" s="1" t="s">
        <v>698</v>
      </c>
      <c r="F33" s="1" t="s">
        <v>698</v>
      </c>
      <c r="G33" s="1" t="s">
        <v>698</v>
      </c>
      <c r="H33" s="1" t="s">
        <v>698</v>
      </c>
      <c r="I33" s="1" t="s">
        <v>698</v>
      </c>
      <c r="J33" s="1">
        <f t="shared" si="4"/>
        <v>1</v>
      </c>
      <c r="L33" s="1" t="s">
        <v>723</v>
      </c>
      <c r="M33" s="7">
        <v>28</v>
      </c>
      <c r="N33" s="5" t="s">
        <v>636</v>
      </c>
      <c r="O33" s="3" t="s">
        <v>636</v>
      </c>
      <c r="P33" s="3" t="s">
        <v>14</v>
      </c>
      <c r="Q33" s="13">
        <v>8</v>
      </c>
      <c r="R33" s="43">
        <f>VLOOKUP('42'!O33,Malzemeler!C:D,2,0)</f>
        <v>0</v>
      </c>
      <c r="S33" s="43">
        <f t="shared" si="1"/>
        <v>0</v>
      </c>
    </row>
    <row r="34" spans="1:19" x14ac:dyDescent="0.35">
      <c r="A34" s="104"/>
      <c r="B34" s="1">
        <v>42</v>
      </c>
      <c r="C34" s="1" t="s">
        <v>698</v>
      </c>
      <c r="D34" s="1" t="s">
        <v>698</v>
      </c>
      <c r="E34" s="1" t="s">
        <v>698</v>
      </c>
      <c r="F34" s="1" t="s">
        <v>698</v>
      </c>
      <c r="G34" s="1" t="s">
        <v>698</v>
      </c>
      <c r="H34" s="1" t="s">
        <v>698</v>
      </c>
      <c r="I34" s="1" t="s">
        <v>698</v>
      </c>
      <c r="J34" s="1">
        <f t="shared" si="4"/>
        <v>1</v>
      </c>
      <c r="L34" s="1" t="s">
        <v>723</v>
      </c>
      <c r="M34" s="7">
        <v>29</v>
      </c>
      <c r="N34" s="5" t="s">
        <v>221</v>
      </c>
      <c r="O34" s="3" t="s">
        <v>222</v>
      </c>
      <c r="P34" s="3" t="s">
        <v>14</v>
      </c>
      <c r="Q34" s="13">
        <v>1039.2304000000004</v>
      </c>
      <c r="R34" s="43">
        <f>VLOOKUP('42'!O34,Malzemeler!C:D,2,0)</f>
        <v>1.07</v>
      </c>
      <c r="S34" s="43">
        <f t="shared" si="1"/>
        <v>1111.9765280000004</v>
      </c>
    </row>
    <row r="35" spans="1:19" x14ac:dyDescent="0.35">
      <c r="A35" s="104"/>
      <c r="B35" s="1">
        <v>42</v>
      </c>
      <c r="C35" s="1" t="s">
        <v>698</v>
      </c>
      <c r="D35" s="1" t="s">
        <v>698</v>
      </c>
      <c r="E35" s="1" t="s">
        <v>698</v>
      </c>
      <c r="F35" s="1" t="s">
        <v>698</v>
      </c>
      <c r="G35" s="1" t="s">
        <v>698</v>
      </c>
      <c r="H35" s="1" t="s">
        <v>698</v>
      </c>
      <c r="I35" s="1" t="s">
        <v>698</v>
      </c>
      <c r="J35" s="1">
        <f t="shared" si="4"/>
        <v>1</v>
      </c>
      <c r="L35" s="1" t="s">
        <v>723</v>
      </c>
      <c r="M35" s="7">
        <v>30</v>
      </c>
      <c r="N35" s="5" t="s">
        <v>637</v>
      </c>
      <c r="O35" s="3" t="s">
        <v>655</v>
      </c>
      <c r="P35" s="3" t="s">
        <v>14</v>
      </c>
      <c r="Q35" s="13">
        <v>8.2279999999999998</v>
      </c>
      <c r="R35" s="43">
        <f>VLOOKUP('42'!O35,Malzemeler!C:D,2,0)</f>
        <v>0</v>
      </c>
      <c r="S35" s="43">
        <f t="shared" si="1"/>
        <v>0</v>
      </c>
    </row>
    <row r="36" spans="1:19" x14ac:dyDescent="0.35">
      <c r="A36" s="104"/>
      <c r="B36" s="1">
        <v>42</v>
      </c>
      <c r="C36" s="1" t="s">
        <v>698</v>
      </c>
      <c r="D36" s="1" t="s">
        <v>698</v>
      </c>
      <c r="E36" s="1" t="s">
        <v>698</v>
      </c>
      <c r="F36" s="1" t="s">
        <v>698</v>
      </c>
      <c r="G36" s="1" t="s">
        <v>698</v>
      </c>
      <c r="H36" s="1" t="s">
        <v>698</v>
      </c>
      <c r="I36" s="1" t="s">
        <v>698</v>
      </c>
      <c r="J36" s="1">
        <f t="shared" si="4"/>
        <v>1</v>
      </c>
      <c r="L36" s="1" t="s">
        <v>723</v>
      </c>
      <c r="M36" s="7">
        <v>31</v>
      </c>
      <c r="N36" s="5" t="s">
        <v>223</v>
      </c>
      <c r="O36" s="3" t="s">
        <v>224</v>
      </c>
      <c r="P36" s="3" t="s">
        <v>14</v>
      </c>
      <c r="Q36" s="13">
        <v>15.055199999999999</v>
      </c>
      <c r="R36" s="43">
        <f>VLOOKUP('42'!O36,Malzemeler!C:D,2,0)</f>
        <v>1.23</v>
      </c>
      <c r="S36" s="43">
        <f t="shared" si="1"/>
        <v>18.517896</v>
      </c>
    </row>
    <row r="37" spans="1:19" x14ac:dyDescent="0.35">
      <c r="A37" s="104"/>
      <c r="B37" s="1">
        <v>42</v>
      </c>
      <c r="C37" s="1" t="s">
        <v>698</v>
      </c>
      <c r="D37" s="1" t="s">
        <v>698</v>
      </c>
      <c r="E37" s="1" t="s">
        <v>698</v>
      </c>
      <c r="F37" s="1" t="s">
        <v>698</v>
      </c>
      <c r="G37" s="1" t="s">
        <v>698</v>
      </c>
      <c r="H37" s="1" t="s">
        <v>698</v>
      </c>
      <c r="I37" s="1" t="s">
        <v>698</v>
      </c>
      <c r="J37" s="1">
        <f t="shared" si="4"/>
        <v>1</v>
      </c>
      <c r="L37" s="1" t="s">
        <v>723</v>
      </c>
      <c r="M37" s="7">
        <v>32</v>
      </c>
      <c r="N37" s="5" t="s">
        <v>227</v>
      </c>
      <c r="O37" s="3" t="s">
        <v>97</v>
      </c>
      <c r="P37" s="3" t="s">
        <v>14</v>
      </c>
      <c r="Q37" s="13">
        <v>148.39853900800003</v>
      </c>
      <c r="R37" s="43">
        <f>VLOOKUP('42'!O37,Malzemeler!C:D,2,0)</f>
        <v>0.8</v>
      </c>
      <c r="S37" s="43">
        <f t="shared" si="1"/>
        <v>118.71883120640003</v>
      </c>
    </row>
    <row r="38" spans="1:19" x14ac:dyDescent="0.35">
      <c r="A38" s="104"/>
      <c r="B38" s="1">
        <v>42</v>
      </c>
      <c r="C38" s="1" t="s">
        <v>698</v>
      </c>
      <c r="D38" s="1" t="s">
        <v>698</v>
      </c>
      <c r="E38" s="1" t="s">
        <v>698</v>
      </c>
      <c r="F38" s="1" t="s">
        <v>698</v>
      </c>
      <c r="G38" s="1" t="s">
        <v>698</v>
      </c>
      <c r="H38" s="1" t="s">
        <v>698</v>
      </c>
      <c r="I38" s="1" t="s">
        <v>698</v>
      </c>
      <c r="J38" s="1">
        <f t="shared" si="4"/>
        <v>1</v>
      </c>
      <c r="L38" s="1" t="s">
        <v>723</v>
      </c>
      <c r="M38" s="7">
        <v>33</v>
      </c>
      <c r="N38" s="5" t="s">
        <v>228</v>
      </c>
      <c r="O38" s="3" t="s">
        <v>229</v>
      </c>
      <c r="P38" s="3" t="s">
        <v>14</v>
      </c>
      <c r="Q38" s="13">
        <v>289.13736</v>
      </c>
      <c r="R38" s="43">
        <f>VLOOKUP('42'!O38,Malzemeler!C:D,2,0)</f>
        <v>0.79</v>
      </c>
      <c r="S38" s="43">
        <f t="shared" si="1"/>
        <v>228.41851440000002</v>
      </c>
    </row>
    <row r="39" spans="1:19" x14ac:dyDescent="0.35">
      <c r="A39" s="104"/>
      <c r="B39" s="1">
        <v>42</v>
      </c>
      <c r="C39" s="1" t="s">
        <v>698</v>
      </c>
      <c r="D39" s="1" t="s">
        <v>698</v>
      </c>
      <c r="E39" s="1" t="s">
        <v>698</v>
      </c>
      <c r="F39" s="1" t="s">
        <v>698</v>
      </c>
      <c r="G39" s="1" t="s">
        <v>698</v>
      </c>
      <c r="H39" s="1" t="s">
        <v>698</v>
      </c>
      <c r="I39" s="1" t="s">
        <v>698</v>
      </c>
      <c r="J39" s="1">
        <f t="shared" si="4"/>
        <v>1</v>
      </c>
      <c r="L39" s="1" t="s">
        <v>723</v>
      </c>
      <c r="M39" s="7">
        <v>34</v>
      </c>
      <c r="N39" s="5" t="s">
        <v>438</v>
      </c>
      <c r="O39" s="3" t="s">
        <v>231</v>
      </c>
      <c r="P39" s="3" t="s">
        <v>14</v>
      </c>
      <c r="Q39" s="13">
        <v>47.705282604800004</v>
      </c>
      <c r="R39" s="43">
        <f>VLOOKUP('42'!O39,Malzemeler!C:D,2,0)</f>
        <v>0.85</v>
      </c>
      <c r="S39" s="43">
        <f t="shared" si="1"/>
        <v>40.549490214080002</v>
      </c>
    </row>
    <row r="40" spans="1:19" x14ac:dyDescent="0.35">
      <c r="A40" s="104"/>
      <c r="B40" s="1">
        <v>42</v>
      </c>
      <c r="C40" s="1" t="s">
        <v>698</v>
      </c>
      <c r="D40" s="1" t="s">
        <v>698</v>
      </c>
      <c r="E40" s="1" t="s">
        <v>698</v>
      </c>
      <c r="F40" s="1" t="s">
        <v>698</v>
      </c>
      <c r="G40" s="1" t="s">
        <v>698</v>
      </c>
      <c r="H40" s="1" t="s">
        <v>698</v>
      </c>
      <c r="I40" s="1" t="s">
        <v>698</v>
      </c>
      <c r="J40" s="1">
        <f t="shared" si="4"/>
        <v>1</v>
      </c>
      <c r="L40" s="1" t="s">
        <v>723</v>
      </c>
      <c r="M40" s="7">
        <v>35</v>
      </c>
      <c r="N40" s="5" t="s">
        <v>234</v>
      </c>
      <c r="O40" s="3" t="s">
        <v>235</v>
      </c>
      <c r="P40" s="3" t="s">
        <v>14</v>
      </c>
      <c r="Q40" s="13">
        <v>34.345350000000003</v>
      </c>
      <c r="R40" s="43">
        <f>VLOOKUP('42'!O40,Malzemeler!C:D,2,0)</f>
        <v>2.3199999999999998</v>
      </c>
      <c r="S40" s="43">
        <f t="shared" si="1"/>
        <v>79.681212000000002</v>
      </c>
    </row>
    <row r="41" spans="1:19" x14ac:dyDescent="0.35">
      <c r="A41" s="104"/>
      <c r="B41" s="1">
        <v>42</v>
      </c>
      <c r="C41" s="1" t="s">
        <v>698</v>
      </c>
      <c r="D41" s="1" t="s">
        <v>698</v>
      </c>
      <c r="E41" s="1" t="s">
        <v>698</v>
      </c>
      <c r="F41" s="1" t="s">
        <v>698</v>
      </c>
      <c r="G41" s="1" t="s">
        <v>698</v>
      </c>
      <c r="H41" s="1" t="s">
        <v>698</v>
      </c>
      <c r="I41" s="1" t="s">
        <v>698</v>
      </c>
      <c r="J41" s="1">
        <f t="shared" si="4"/>
        <v>1</v>
      </c>
      <c r="L41" s="1" t="s">
        <v>723</v>
      </c>
      <c r="M41" s="7">
        <v>36</v>
      </c>
      <c r="N41" s="5" t="s">
        <v>638</v>
      </c>
      <c r="O41" s="3" t="s">
        <v>656</v>
      </c>
      <c r="P41" s="3" t="s">
        <v>14</v>
      </c>
      <c r="Q41" s="13">
        <v>8.0784000000000002</v>
      </c>
      <c r="R41" s="43">
        <f>VLOOKUP('42'!O41,Malzemeler!C:D,2,0)</f>
        <v>0</v>
      </c>
      <c r="S41" s="43">
        <f t="shared" si="1"/>
        <v>0</v>
      </c>
    </row>
    <row r="42" spans="1:19" x14ac:dyDescent="0.35">
      <c r="A42" s="104"/>
      <c r="B42" s="1">
        <v>42</v>
      </c>
      <c r="C42" s="1" t="s">
        <v>698</v>
      </c>
      <c r="D42" s="1" t="s">
        <v>698</v>
      </c>
      <c r="E42" s="1" t="s">
        <v>698</v>
      </c>
      <c r="F42" s="1" t="s">
        <v>698</v>
      </c>
      <c r="G42" s="1" t="s">
        <v>698</v>
      </c>
      <c r="H42" s="1" t="s">
        <v>698</v>
      </c>
      <c r="I42" s="1" t="s">
        <v>698</v>
      </c>
      <c r="J42" s="1">
        <f t="shared" si="4"/>
        <v>1</v>
      </c>
      <c r="L42" s="1" t="s">
        <v>723</v>
      </c>
      <c r="M42" s="7">
        <v>37</v>
      </c>
      <c r="N42" s="5" t="s">
        <v>90</v>
      </c>
      <c r="O42" s="3" t="s">
        <v>91</v>
      </c>
      <c r="P42" s="3" t="s">
        <v>14</v>
      </c>
      <c r="Q42" s="13">
        <v>34.845800000000004</v>
      </c>
      <c r="R42" s="43">
        <f>VLOOKUP('42'!O42,Malzemeler!C:D,2,0)</f>
        <v>1.27</v>
      </c>
      <c r="S42" s="43">
        <f t="shared" si="1"/>
        <v>44.254166000000005</v>
      </c>
    </row>
    <row r="43" spans="1:19" x14ac:dyDescent="0.35">
      <c r="A43" s="104"/>
      <c r="B43" s="1">
        <v>42</v>
      </c>
      <c r="C43" s="1" t="s">
        <v>698</v>
      </c>
      <c r="D43" s="1" t="s">
        <v>698</v>
      </c>
      <c r="E43" s="1" t="s">
        <v>698</v>
      </c>
      <c r="F43" s="1" t="s">
        <v>698</v>
      </c>
      <c r="G43" s="1" t="s">
        <v>698</v>
      </c>
      <c r="H43" s="1" t="s">
        <v>698</v>
      </c>
      <c r="I43" s="1" t="s">
        <v>698</v>
      </c>
      <c r="J43" s="1">
        <f t="shared" si="4"/>
        <v>1</v>
      </c>
      <c r="L43" s="1" t="s">
        <v>723</v>
      </c>
      <c r="M43" s="7">
        <v>38</v>
      </c>
      <c r="N43" s="5" t="s">
        <v>92</v>
      </c>
      <c r="O43" s="3" t="s">
        <v>93</v>
      </c>
      <c r="P43" s="3" t="s">
        <v>14</v>
      </c>
      <c r="Q43" s="13">
        <v>12.381600000000001</v>
      </c>
      <c r="R43" s="43">
        <f>VLOOKUP('42'!O43,Malzemeler!C:D,2,0)</f>
        <v>1.74</v>
      </c>
      <c r="S43" s="43">
        <f t="shared" si="1"/>
        <v>21.543984000000002</v>
      </c>
    </row>
    <row r="44" spans="1:19" x14ac:dyDescent="0.35">
      <c r="A44" s="104"/>
      <c r="B44" s="1">
        <v>42</v>
      </c>
      <c r="C44" s="1" t="s">
        <v>698</v>
      </c>
      <c r="D44" s="1" t="s">
        <v>698</v>
      </c>
      <c r="E44" s="1" t="s">
        <v>698</v>
      </c>
      <c r="F44" s="1" t="s">
        <v>698</v>
      </c>
      <c r="G44" s="1" t="s">
        <v>698</v>
      </c>
      <c r="H44" s="1" t="s">
        <v>698</v>
      </c>
      <c r="I44" s="1" t="s">
        <v>698</v>
      </c>
      <c r="J44" s="1">
        <f t="shared" si="4"/>
        <v>1</v>
      </c>
      <c r="L44" s="1" t="s">
        <v>723</v>
      </c>
      <c r="M44" s="7">
        <v>39</v>
      </c>
      <c r="N44" s="5" t="s">
        <v>238</v>
      </c>
      <c r="O44" s="3" t="s">
        <v>239</v>
      </c>
      <c r="P44" s="3" t="s">
        <v>14</v>
      </c>
      <c r="Q44" s="13">
        <v>46.6785</v>
      </c>
      <c r="R44" s="43">
        <f>VLOOKUP('42'!O44,Malzemeler!C:D,2,0)</f>
        <v>1.95</v>
      </c>
      <c r="S44" s="43">
        <f t="shared" si="1"/>
        <v>91.023074999999992</v>
      </c>
    </row>
    <row r="45" spans="1:19" x14ac:dyDescent="0.35">
      <c r="A45" s="104"/>
      <c r="B45" s="1">
        <v>42</v>
      </c>
      <c r="C45" s="1" t="s">
        <v>698</v>
      </c>
      <c r="D45" s="1" t="s">
        <v>698</v>
      </c>
      <c r="E45" s="1" t="s">
        <v>698</v>
      </c>
      <c r="F45" s="1" t="s">
        <v>698</v>
      </c>
      <c r="G45" s="1" t="s">
        <v>698</v>
      </c>
      <c r="H45" s="1" t="s">
        <v>698</v>
      </c>
      <c r="I45" s="1" t="s">
        <v>698</v>
      </c>
      <c r="J45" s="1">
        <f t="shared" si="4"/>
        <v>1</v>
      </c>
      <c r="L45" s="1" t="s">
        <v>723</v>
      </c>
      <c r="M45" s="7">
        <v>40</v>
      </c>
      <c r="N45" s="5" t="s">
        <v>240</v>
      </c>
      <c r="O45" s="3" t="s">
        <v>241</v>
      </c>
      <c r="P45" s="3" t="s">
        <v>14</v>
      </c>
      <c r="Q45" s="13">
        <v>42.457799999999999</v>
      </c>
      <c r="R45" s="43">
        <f>VLOOKUP('42'!O45,Malzemeler!C:D,2,0)</f>
        <v>4.4000000000000004</v>
      </c>
      <c r="S45" s="43">
        <f t="shared" si="1"/>
        <v>186.81432000000001</v>
      </c>
    </row>
    <row r="46" spans="1:19" x14ac:dyDescent="0.35">
      <c r="A46" s="104"/>
      <c r="B46" s="1">
        <v>42</v>
      </c>
      <c r="C46" s="1" t="s">
        <v>698</v>
      </c>
      <c r="D46" s="1" t="s">
        <v>698</v>
      </c>
      <c r="E46" s="1" t="s">
        <v>698</v>
      </c>
      <c r="F46" s="1" t="s">
        <v>698</v>
      </c>
      <c r="G46" s="1" t="s">
        <v>698</v>
      </c>
      <c r="H46" s="1" t="s">
        <v>698</v>
      </c>
      <c r="I46" s="1" t="s">
        <v>698</v>
      </c>
      <c r="J46" s="1">
        <f t="shared" si="4"/>
        <v>1</v>
      </c>
      <c r="L46" s="1" t="s">
        <v>723</v>
      </c>
      <c r="M46" s="7">
        <v>41</v>
      </c>
      <c r="N46" s="5" t="s">
        <v>370</v>
      </c>
      <c r="O46" s="3" t="s">
        <v>371</v>
      </c>
      <c r="P46" s="3" t="s">
        <v>14</v>
      </c>
      <c r="Q46" s="13">
        <v>3.7652999999999999</v>
      </c>
      <c r="R46" s="43">
        <f>VLOOKUP('42'!O46,Malzemeler!C:D,2,0)</f>
        <v>4.4000000000000004</v>
      </c>
      <c r="S46" s="43">
        <f t="shared" si="1"/>
        <v>16.567320000000002</v>
      </c>
    </row>
    <row r="47" spans="1:19" x14ac:dyDescent="0.35">
      <c r="A47" s="104"/>
      <c r="B47" s="1">
        <v>42</v>
      </c>
      <c r="C47" s="1" t="s">
        <v>698</v>
      </c>
      <c r="D47" s="1" t="s">
        <v>698</v>
      </c>
      <c r="E47" s="1" t="s">
        <v>698</v>
      </c>
      <c r="F47" s="1" t="s">
        <v>698</v>
      </c>
      <c r="G47" s="1" t="s">
        <v>698</v>
      </c>
      <c r="H47" s="1" t="s">
        <v>698</v>
      </c>
      <c r="I47" s="1" t="s">
        <v>698</v>
      </c>
      <c r="J47" s="1">
        <f t="shared" si="4"/>
        <v>1</v>
      </c>
      <c r="L47" s="1" t="s">
        <v>723</v>
      </c>
      <c r="M47" s="7">
        <v>42</v>
      </c>
      <c r="N47" s="5" t="s">
        <v>242</v>
      </c>
      <c r="O47" s="3" t="s">
        <v>243</v>
      </c>
      <c r="P47" s="3" t="s">
        <v>14</v>
      </c>
      <c r="Q47" s="13">
        <v>10.0562</v>
      </c>
      <c r="R47" s="43">
        <f>VLOOKUP('42'!O47,Malzemeler!C:D,2,0)</f>
        <v>4.4000000000000004</v>
      </c>
      <c r="S47" s="43">
        <f t="shared" si="1"/>
        <v>44.247280000000003</v>
      </c>
    </row>
    <row r="48" spans="1:19" x14ac:dyDescent="0.35">
      <c r="A48" s="104"/>
      <c r="B48" s="1">
        <v>42</v>
      </c>
      <c r="C48" s="1" t="s">
        <v>698</v>
      </c>
      <c r="D48" s="1" t="s">
        <v>698</v>
      </c>
      <c r="E48" s="1" t="s">
        <v>698</v>
      </c>
      <c r="F48" s="1" t="s">
        <v>698</v>
      </c>
      <c r="G48" s="1" t="s">
        <v>698</v>
      </c>
      <c r="H48" s="1" t="s">
        <v>698</v>
      </c>
      <c r="I48" s="1" t="s">
        <v>698</v>
      </c>
      <c r="J48" s="1">
        <f t="shared" si="4"/>
        <v>1</v>
      </c>
      <c r="L48" s="1" t="s">
        <v>723</v>
      </c>
      <c r="M48" s="7">
        <v>43</v>
      </c>
      <c r="N48" s="5" t="s">
        <v>244</v>
      </c>
      <c r="O48" s="3" t="s">
        <v>245</v>
      </c>
      <c r="P48" s="3" t="s">
        <v>14</v>
      </c>
      <c r="Q48" s="13">
        <v>10.9483</v>
      </c>
      <c r="R48" s="43">
        <f>VLOOKUP('42'!O48,Malzemeler!C:D,2,0)</f>
        <v>4.4000000000000004</v>
      </c>
      <c r="S48" s="43">
        <f t="shared" si="1"/>
        <v>48.172520000000006</v>
      </c>
    </row>
    <row r="49" spans="1:19" x14ac:dyDescent="0.35">
      <c r="A49" s="104"/>
      <c r="B49" s="1">
        <v>42</v>
      </c>
      <c r="C49" s="1" t="s">
        <v>698</v>
      </c>
      <c r="D49" s="1" t="s">
        <v>698</v>
      </c>
      <c r="E49" s="1" t="s">
        <v>698</v>
      </c>
      <c r="F49" s="1" t="s">
        <v>698</v>
      </c>
      <c r="G49" s="1" t="s">
        <v>698</v>
      </c>
      <c r="H49" s="1" t="s">
        <v>698</v>
      </c>
      <c r="I49" s="1" t="s">
        <v>698</v>
      </c>
      <c r="J49" s="1">
        <f t="shared" si="4"/>
        <v>1</v>
      </c>
      <c r="L49" s="1" t="s">
        <v>723</v>
      </c>
      <c r="M49" s="7">
        <v>44</v>
      </c>
      <c r="N49" s="5" t="s">
        <v>246</v>
      </c>
      <c r="O49" s="3" t="s">
        <v>247</v>
      </c>
      <c r="P49" s="3" t="s">
        <v>14</v>
      </c>
      <c r="Q49" s="13">
        <v>9.2620000000000005</v>
      </c>
      <c r="R49" s="43">
        <f>VLOOKUP('42'!O49,Malzemeler!C:D,2,0)</f>
        <v>4.4000000000000004</v>
      </c>
      <c r="S49" s="43">
        <f t="shared" si="1"/>
        <v>40.752800000000008</v>
      </c>
    </row>
    <row r="50" spans="1:19" x14ac:dyDescent="0.35">
      <c r="A50" s="104"/>
      <c r="B50" s="1">
        <v>42</v>
      </c>
      <c r="C50" s="1" t="s">
        <v>698</v>
      </c>
      <c r="D50" s="1" t="s">
        <v>698</v>
      </c>
      <c r="E50" s="1" t="s">
        <v>698</v>
      </c>
      <c r="F50" s="1" t="s">
        <v>698</v>
      </c>
      <c r="G50" s="1" t="s">
        <v>698</v>
      </c>
      <c r="H50" s="1" t="s">
        <v>698</v>
      </c>
      <c r="I50" s="1" t="s">
        <v>698</v>
      </c>
      <c r="J50" s="1">
        <f t="shared" si="4"/>
        <v>1</v>
      </c>
      <c r="L50" s="1" t="s">
        <v>723</v>
      </c>
      <c r="M50" s="7">
        <v>45</v>
      </c>
      <c r="N50" s="5" t="s">
        <v>248</v>
      </c>
      <c r="O50" s="3" t="s">
        <v>249</v>
      </c>
      <c r="P50" s="3" t="s">
        <v>14</v>
      </c>
      <c r="Q50" s="13">
        <v>33.772199999999998</v>
      </c>
      <c r="R50" s="43">
        <f>VLOOKUP('42'!O50,Malzemeler!C:D,2,0)</f>
        <v>2.36</v>
      </c>
      <c r="S50" s="43">
        <f t="shared" si="1"/>
        <v>79.702391999999989</v>
      </c>
    </row>
    <row r="51" spans="1:19" x14ac:dyDescent="0.35">
      <c r="A51" s="104"/>
      <c r="B51" s="1">
        <v>42</v>
      </c>
      <c r="C51" s="1" t="s">
        <v>698</v>
      </c>
      <c r="D51" s="1" t="s">
        <v>698</v>
      </c>
      <c r="E51" s="1" t="s">
        <v>698</v>
      </c>
      <c r="F51" s="1" t="s">
        <v>698</v>
      </c>
      <c r="G51" s="1" t="s">
        <v>698</v>
      </c>
      <c r="H51" s="1" t="s">
        <v>698</v>
      </c>
      <c r="I51" s="1" t="s">
        <v>698</v>
      </c>
      <c r="J51" s="1">
        <f t="shared" si="4"/>
        <v>1</v>
      </c>
      <c r="L51" s="1" t="s">
        <v>723</v>
      </c>
      <c r="M51" s="7">
        <v>46</v>
      </c>
      <c r="N51" s="5" t="s">
        <v>254</v>
      </c>
      <c r="O51" s="3" t="s">
        <v>255</v>
      </c>
      <c r="P51" s="3" t="s">
        <v>14</v>
      </c>
      <c r="Q51" s="13">
        <v>4.3032000000000004</v>
      </c>
      <c r="R51" s="43">
        <f>VLOOKUP('42'!O51,Malzemeler!C:D,2,0)</f>
        <v>0.76</v>
      </c>
      <c r="S51" s="43">
        <f t="shared" si="1"/>
        <v>3.2704320000000004</v>
      </c>
    </row>
    <row r="52" spans="1:19" x14ac:dyDescent="0.35">
      <c r="A52" s="104"/>
      <c r="B52" s="1">
        <v>42</v>
      </c>
      <c r="C52" s="1" t="s">
        <v>698</v>
      </c>
      <c r="D52" s="1" t="s">
        <v>698</v>
      </c>
      <c r="E52" s="1" t="s">
        <v>698</v>
      </c>
      <c r="F52" s="1" t="s">
        <v>698</v>
      </c>
      <c r="G52" s="1" t="s">
        <v>698</v>
      </c>
      <c r="H52" s="1" t="s">
        <v>698</v>
      </c>
      <c r="I52" s="1" t="s">
        <v>698</v>
      </c>
      <c r="J52" s="1">
        <f t="shared" si="4"/>
        <v>1</v>
      </c>
      <c r="L52" s="1" t="s">
        <v>723</v>
      </c>
      <c r="M52" s="7">
        <v>47</v>
      </c>
      <c r="N52" s="5" t="s">
        <v>256</v>
      </c>
      <c r="O52" s="3" t="s">
        <v>257</v>
      </c>
      <c r="P52" s="3" t="s">
        <v>14</v>
      </c>
      <c r="Q52" s="13">
        <v>19.216999999999999</v>
      </c>
      <c r="R52" s="43">
        <f>VLOOKUP('42'!O52,Malzemeler!C:D,2,0)</f>
        <v>0.7</v>
      </c>
      <c r="S52" s="43">
        <f t="shared" si="1"/>
        <v>13.451899999999998</v>
      </c>
    </row>
    <row r="53" spans="1:19" x14ac:dyDescent="0.35">
      <c r="A53" s="104"/>
      <c r="B53" s="1">
        <v>42</v>
      </c>
      <c r="C53" s="1" t="s">
        <v>698</v>
      </c>
      <c r="D53" s="1" t="s">
        <v>698</v>
      </c>
      <c r="E53" s="1" t="s">
        <v>698</v>
      </c>
      <c r="F53" s="1" t="s">
        <v>698</v>
      </c>
      <c r="G53" s="1" t="s">
        <v>698</v>
      </c>
      <c r="H53" s="1" t="s">
        <v>698</v>
      </c>
      <c r="I53" s="1" t="s">
        <v>698</v>
      </c>
      <c r="J53" s="1">
        <f t="shared" si="4"/>
        <v>1</v>
      </c>
      <c r="L53" s="1" t="s">
        <v>723</v>
      </c>
      <c r="M53" s="7">
        <v>48</v>
      </c>
      <c r="N53" s="5" t="s">
        <v>110</v>
      </c>
      <c r="O53" s="3" t="s">
        <v>111</v>
      </c>
      <c r="P53" s="3" t="s">
        <v>14</v>
      </c>
      <c r="Q53" s="13">
        <v>198.47299999999998</v>
      </c>
      <c r="R53" s="43">
        <f>VLOOKUP('42'!O53,Malzemeler!C:D,2,0)</f>
        <v>1.1200000000000001</v>
      </c>
      <c r="S53" s="43">
        <f t="shared" si="1"/>
        <v>222.28976</v>
      </c>
    </row>
    <row r="54" spans="1:19" x14ac:dyDescent="0.35">
      <c r="A54" s="104"/>
      <c r="B54" s="1">
        <v>42</v>
      </c>
      <c r="C54" s="1" t="s">
        <v>698</v>
      </c>
      <c r="D54" s="1" t="s">
        <v>698</v>
      </c>
      <c r="E54" s="1" t="s">
        <v>698</v>
      </c>
      <c r="F54" s="1" t="s">
        <v>698</v>
      </c>
      <c r="G54" s="1" t="s">
        <v>698</v>
      </c>
      <c r="H54" s="1" t="s">
        <v>698</v>
      </c>
      <c r="I54" s="1" t="s">
        <v>698</v>
      </c>
      <c r="J54" s="1">
        <f t="shared" si="4"/>
        <v>1</v>
      </c>
      <c r="L54" s="1" t="s">
        <v>723</v>
      </c>
      <c r="M54" s="7">
        <v>49</v>
      </c>
      <c r="N54" s="5" t="s">
        <v>258</v>
      </c>
      <c r="O54" s="3" t="s">
        <v>157</v>
      </c>
      <c r="P54" s="3" t="s">
        <v>14</v>
      </c>
      <c r="Q54" s="13">
        <v>49.474000000000004</v>
      </c>
      <c r="R54" s="43">
        <f>VLOOKUP('42'!O54,Malzemeler!C:D,2,0)</f>
        <v>3</v>
      </c>
      <c r="S54" s="43">
        <f t="shared" si="1"/>
        <v>148.42200000000003</v>
      </c>
    </row>
    <row r="55" spans="1:19" x14ac:dyDescent="0.35">
      <c r="A55" s="104"/>
      <c r="B55" s="1">
        <v>42</v>
      </c>
      <c r="C55" s="1" t="s">
        <v>698</v>
      </c>
      <c r="D55" s="1" t="s">
        <v>698</v>
      </c>
      <c r="E55" s="1" t="s">
        <v>698</v>
      </c>
      <c r="F55" s="1" t="s">
        <v>698</v>
      </c>
      <c r="G55" s="1" t="s">
        <v>698</v>
      </c>
      <c r="H55" s="1" t="s">
        <v>698</v>
      </c>
      <c r="I55" s="1" t="s">
        <v>698</v>
      </c>
      <c r="J55" s="1">
        <f t="shared" si="4"/>
        <v>1</v>
      </c>
      <c r="L55" s="1" t="s">
        <v>723</v>
      </c>
      <c r="M55" s="7">
        <v>50</v>
      </c>
      <c r="N55" s="5" t="s">
        <v>259</v>
      </c>
      <c r="O55" s="3" t="s">
        <v>260</v>
      </c>
      <c r="P55" s="3" t="s">
        <v>14</v>
      </c>
      <c r="Q55" s="13">
        <v>10.186</v>
      </c>
      <c r="R55" s="43">
        <f>VLOOKUP('42'!O55,Malzemeler!C:D,2,0)</f>
        <v>3</v>
      </c>
      <c r="S55" s="43">
        <f t="shared" si="1"/>
        <v>30.558</v>
      </c>
    </row>
    <row r="56" spans="1:19" x14ac:dyDescent="0.35">
      <c r="A56" s="104"/>
      <c r="B56" s="1">
        <v>42</v>
      </c>
      <c r="C56" s="1" t="s">
        <v>698</v>
      </c>
      <c r="D56" s="1" t="s">
        <v>698</v>
      </c>
      <c r="E56" s="1" t="s">
        <v>698</v>
      </c>
      <c r="F56" s="1" t="s">
        <v>698</v>
      </c>
      <c r="G56" s="1" t="s">
        <v>698</v>
      </c>
      <c r="H56" s="1" t="s">
        <v>698</v>
      </c>
      <c r="I56" s="1" t="s">
        <v>698</v>
      </c>
      <c r="J56" s="1">
        <f t="shared" si="4"/>
        <v>1</v>
      </c>
      <c r="L56" s="1" t="s">
        <v>723</v>
      </c>
      <c r="M56" s="7">
        <v>51</v>
      </c>
      <c r="N56" s="5" t="s">
        <v>652</v>
      </c>
      <c r="O56" s="3" t="s">
        <v>666</v>
      </c>
      <c r="P56" s="3" t="s">
        <v>14</v>
      </c>
      <c r="Q56" s="13">
        <v>2</v>
      </c>
      <c r="R56" s="43">
        <f>VLOOKUP('42'!O56,Malzemeler!C:D,2,0)</f>
        <v>0</v>
      </c>
      <c r="S56" s="43">
        <f t="shared" si="1"/>
        <v>0</v>
      </c>
    </row>
    <row r="57" spans="1:19" x14ac:dyDescent="0.35">
      <c r="A57" s="104"/>
      <c r="B57" s="1">
        <v>42</v>
      </c>
      <c r="C57" s="1" t="s">
        <v>698</v>
      </c>
      <c r="D57" s="1" t="s">
        <v>698</v>
      </c>
      <c r="E57" s="1" t="s">
        <v>698</v>
      </c>
      <c r="F57" s="1" t="s">
        <v>698</v>
      </c>
      <c r="G57" s="1" t="s">
        <v>698</v>
      </c>
      <c r="H57" s="1" t="s">
        <v>698</v>
      </c>
      <c r="I57" s="1" t="s">
        <v>698</v>
      </c>
      <c r="J57" s="1">
        <f t="shared" si="4"/>
        <v>1</v>
      </c>
      <c r="L57" s="1" t="s">
        <v>723</v>
      </c>
      <c r="M57" s="7">
        <v>52</v>
      </c>
      <c r="N57" s="5" t="s">
        <v>653</v>
      </c>
      <c r="O57" s="3" t="s">
        <v>667</v>
      </c>
      <c r="P57" s="3" t="s">
        <v>14</v>
      </c>
      <c r="Q57" s="13">
        <v>2</v>
      </c>
      <c r="R57" s="43">
        <f>VLOOKUP('42'!O57,Malzemeler!C:D,2,0)</f>
        <v>0</v>
      </c>
      <c r="S57" s="43">
        <f t="shared" si="1"/>
        <v>0</v>
      </c>
    </row>
    <row r="58" spans="1:19" x14ac:dyDescent="0.35">
      <c r="A58" s="104"/>
      <c r="B58" s="1">
        <v>42</v>
      </c>
      <c r="C58" s="1" t="s">
        <v>698</v>
      </c>
      <c r="D58" s="1" t="s">
        <v>698</v>
      </c>
      <c r="E58" s="1" t="s">
        <v>698</v>
      </c>
      <c r="F58" s="1" t="s">
        <v>698</v>
      </c>
      <c r="G58" s="1" t="s">
        <v>698</v>
      </c>
      <c r="H58" s="1" t="s">
        <v>698</v>
      </c>
      <c r="I58" s="1" t="s">
        <v>698</v>
      </c>
      <c r="J58" s="1">
        <f t="shared" si="4"/>
        <v>1</v>
      </c>
      <c r="L58" s="1" t="s">
        <v>723</v>
      </c>
      <c r="M58" s="7">
        <v>53</v>
      </c>
      <c r="N58" s="5" t="s">
        <v>639</v>
      </c>
      <c r="O58" s="3" t="s">
        <v>657</v>
      </c>
      <c r="P58" s="3" t="s">
        <v>14</v>
      </c>
      <c r="Q58" s="13">
        <v>48</v>
      </c>
      <c r="R58" s="43">
        <f>VLOOKUP('42'!O58,Malzemeler!C:D,2,0)</f>
        <v>0</v>
      </c>
      <c r="S58" s="43">
        <f t="shared" si="1"/>
        <v>0</v>
      </c>
    </row>
    <row r="59" spans="1:19" x14ac:dyDescent="0.35">
      <c r="A59" s="104"/>
      <c r="B59" s="1">
        <v>42</v>
      </c>
      <c r="C59" s="1" t="s">
        <v>698</v>
      </c>
      <c r="D59" s="1" t="s">
        <v>698</v>
      </c>
      <c r="E59" s="1" t="s">
        <v>698</v>
      </c>
      <c r="F59" s="1" t="s">
        <v>698</v>
      </c>
      <c r="G59" s="1" t="s">
        <v>698</v>
      </c>
      <c r="H59" s="1" t="s">
        <v>698</v>
      </c>
      <c r="I59" s="1" t="s">
        <v>698</v>
      </c>
      <c r="J59" s="1">
        <f t="shared" si="4"/>
        <v>1</v>
      </c>
      <c r="L59" s="1" t="s">
        <v>723</v>
      </c>
      <c r="M59" s="7">
        <v>54</v>
      </c>
      <c r="N59" s="5" t="s">
        <v>640</v>
      </c>
      <c r="O59" s="3" t="s">
        <v>658</v>
      </c>
      <c r="P59" s="3" t="s">
        <v>14</v>
      </c>
      <c r="Q59" s="13">
        <v>12</v>
      </c>
      <c r="R59" s="43">
        <f>VLOOKUP('42'!O59,Malzemeler!C:D,2,0)</f>
        <v>0</v>
      </c>
      <c r="S59" s="43">
        <f t="shared" si="1"/>
        <v>0</v>
      </c>
    </row>
    <row r="60" spans="1:19" x14ac:dyDescent="0.35">
      <c r="A60" s="104"/>
      <c r="B60" s="1">
        <v>42</v>
      </c>
      <c r="C60" s="1" t="s">
        <v>698</v>
      </c>
      <c r="D60" s="1" t="s">
        <v>698</v>
      </c>
      <c r="E60" s="1" t="s">
        <v>698</v>
      </c>
      <c r="F60" s="1" t="s">
        <v>698</v>
      </c>
      <c r="G60" s="1" t="s">
        <v>698</v>
      </c>
      <c r="H60" s="1" t="s">
        <v>698</v>
      </c>
      <c r="I60" s="1" t="s">
        <v>698</v>
      </c>
      <c r="J60" s="1">
        <f t="shared" si="4"/>
        <v>1</v>
      </c>
      <c r="L60" s="1" t="s">
        <v>723</v>
      </c>
      <c r="M60" s="7">
        <v>55</v>
      </c>
      <c r="N60" s="5" t="s">
        <v>641</v>
      </c>
      <c r="O60" s="3" t="s">
        <v>659</v>
      </c>
      <c r="P60" s="3" t="s">
        <v>14</v>
      </c>
      <c r="Q60" s="13">
        <v>12</v>
      </c>
      <c r="R60" s="43">
        <f>VLOOKUP('42'!O60,Malzemeler!C:D,2,0)</f>
        <v>0</v>
      </c>
      <c r="S60" s="43">
        <f t="shared" si="1"/>
        <v>0</v>
      </c>
    </row>
    <row r="61" spans="1:19" x14ac:dyDescent="0.35">
      <c r="A61" s="104"/>
      <c r="B61" s="1">
        <v>42</v>
      </c>
      <c r="C61" s="1" t="s">
        <v>698</v>
      </c>
      <c r="D61" s="1" t="s">
        <v>698</v>
      </c>
      <c r="E61" s="1" t="s">
        <v>698</v>
      </c>
      <c r="F61" s="1" t="s">
        <v>698</v>
      </c>
      <c r="G61" s="1" t="s">
        <v>698</v>
      </c>
      <c r="H61" s="1" t="s">
        <v>698</v>
      </c>
      <c r="I61" s="1" t="s">
        <v>698</v>
      </c>
      <c r="J61" s="1">
        <f t="shared" ref="J61:J91" si="5">SUBTOTAL(103,B61)</f>
        <v>1</v>
      </c>
      <c r="L61" s="1" t="s">
        <v>723</v>
      </c>
      <c r="M61" s="7">
        <v>56</v>
      </c>
      <c r="N61" s="5" t="s">
        <v>264</v>
      </c>
      <c r="O61" s="3" t="s">
        <v>265</v>
      </c>
      <c r="P61" s="3" t="s">
        <v>14</v>
      </c>
      <c r="Q61" s="13">
        <v>2</v>
      </c>
      <c r="R61" s="43">
        <f>VLOOKUP('42'!O61,Malzemeler!C:D,2,0)</f>
        <v>8.2200000000000006</v>
      </c>
      <c r="S61" s="43">
        <f t="shared" si="1"/>
        <v>16.440000000000001</v>
      </c>
    </row>
    <row r="62" spans="1:19" x14ac:dyDescent="0.35">
      <c r="A62" s="104"/>
      <c r="B62" s="1">
        <v>42</v>
      </c>
      <c r="C62" s="1" t="s">
        <v>698</v>
      </c>
      <c r="D62" s="1" t="s">
        <v>698</v>
      </c>
      <c r="E62" s="1" t="s">
        <v>698</v>
      </c>
      <c r="F62" s="1" t="s">
        <v>698</v>
      </c>
      <c r="G62" s="1" t="s">
        <v>698</v>
      </c>
      <c r="H62" s="1" t="s">
        <v>698</v>
      </c>
      <c r="I62" s="1" t="s">
        <v>698</v>
      </c>
      <c r="J62" s="1">
        <f t="shared" si="5"/>
        <v>1</v>
      </c>
      <c r="L62" s="1" t="s">
        <v>723</v>
      </c>
      <c r="M62" s="7">
        <v>57</v>
      </c>
      <c r="N62" s="5" t="s">
        <v>266</v>
      </c>
      <c r="O62" s="3" t="s">
        <v>267</v>
      </c>
      <c r="P62" s="3" t="s">
        <v>14</v>
      </c>
      <c r="Q62" s="13">
        <v>8</v>
      </c>
      <c r="R62" s="43">
        <f>VLOOKUP('42'!O62,Malzemeler!C:D,2,0)</f>
        <v>3.4609999999999999</v>
      </c>
      <c r="S62" s="43">
        <f t="shared" si="1"/>
        <v>27.687999999999999</v>
      </c>
    </row>
    <row r="63" spans="1:19" x14ac:dyDescent="0.35">
      <c r="A63" s="104"/>
      <c r="B63" s="1">
        <v>42</v>
      </c>
      <c r="C63" s="1" t="s">
        <v>698</v>
      </c>
      <c r="D63" s="1" t="s">
        <v>698</v>
      </c>
      <c r="E63" s="1" t="s">
        <v>698</v>
      </c>
      <c r="F63" s="1" t="s">
        <v>698</v>
      </c>
      <c r="G63" s="1" t="s">
        <v>698</v>
      </c>
      <c r="H63" s="1" t="s">
        <v>698</v>
      </c>
      <c r="I63" s="1" t="s">
        <v>698</v>
      </c>
      <c r="J63" s="1">
        <f t="shared" si="5"/>
        <v>1</v>
      </c>
      <c r="L63" s="1" t="s">
        <v>723</v>
      </c>
      <c r="M63" s="7">
        <v>58</v>
      </c>
      <c r="N63" s="5" t="s">
        <v>268</v>
      </c>
      <c r="O63" s="3" t="s">
        <v>269</v>
      </c>
      <c r="P63" s="3" t="s">
        <v>14</v>
      </c>
      <c r="Q63" s="13">
        <v>8</v>
      </c>
      <c r="R63" s="43">
        <f>VLOOKUP('42'!O63,Malzemeler!C:D,2,0)</f>
        <v>3.2450000000000001</v>
      </c>
      <c r="S63" s="43">
        <f t="shared" si="1"/>
        <v>25.96</v>
      </c>
    </row>
    <row r="64" spans="1:19" x14ac:dyDescent="0.35">
      <c r="A64" s="104"/>
      <c r="B64" s="1">
        <v>42</v>
      </c>
      <c r="C64" s="1" t="s">
        <v>698</v>
      </c>
      <c r="D64" s="1" t="s">
        <v>698</v>
      </c>
      <c r="E64" s="1" t="s">
        <v>698</v>
      </c>
      <c r="F64" s="1" t="s">
        <v>698</v>
      </c>
      <c r="G64" s="1" t="s">
        <v>698</v>
      </c>
      <c r="H64" s="1" t="s">
        <v>698</v>
      </c>
      <c r="I64" s="1" t="s">
        <v>698</v>
      </c>
      <c r="J64" s="1">
        <f t="shared" si="5"/>
        <v>1</v>
      </c>
      <c r="L64" s="1" t="s">
        <v>723</v>
      </c>
      <c r="M64" s="7">
        <v>59</v>
      </c>
      <c r="N64" s="5" t="s">
        <v>642</v>
      </c>
      <c r="O64" s="3" t="s">
        <v>660</v>
      </c>
      <c r="P64" s="3" t="s">
        <v>14</v>
      </c>
      <c r="Q64" s="13">
        <v>27</v>
      </c>
      <c r="R64" s="43">
        <f>VLOOKUP('42'!O64,Malzemeler!C:D,2,0)</f>
        <v>0</v>
      </c>
      <c r="S64" s="43">
        <f t="shared" si="1"/>
        <v>0</v>
      </c>
    </row>
    <row r="65" spans="1:19" x14ac:dyDescent="0.35">
      <c r="A65" s="104"/>
      <c r="B65" s="1">
        <v>42</v>
      </c>
      <c r="C65" s="1" t="s">
        <v>698</v>
      </c>
      <c r="D65" s="1" t="s">
        <v>698</v>
      </c>
      <c r="E65" s="1" t="s">
        <v>698</v>
      </c>
      <c r="F65" s="1" t="s">
        <v>698</v>
      </c>
      <c r="G65" s="1" t="s">
        <v>698</v>
      </c>
      <c r="H65" s="1" t="s">
        <v>698</v>
      </c>
      <c r="I65" s="1" t="s">
        <v>698</v>
      </c>
      <c r="J65" s="1">
        <f t="shared" si="5"/>
        <v>1</v>
      </c>
      <c r="L65" s="1" t="s">
        <v>723</v>
      </c>
      <c r="M65" s="7">
        <v>60</v>
      </c>
      <c r="N65" s="5" t="s">
        <v>272</v>
      </c>
      <c r="O65" s="3" t="s">
        <v>273</v>
      </c>
      <c r="P65" s="3" t="s">
        <v>14</v>
      </c>
      <c r="Q65" s="13">
        <v>12</v>
      </c>
      <c r="R65" s="43">
        <f>VLOOKUP('42'!O65,Malzemeler!C:D,2,0)</f>
        <v>1</v>
      </c>
      <c r="S65" s="43">
        <f t="shared" si="1"/>
        <v>12</v>
      </c>
    </row>
    <row r="66" spans="1:19" x14ac:dyDescent="0.35">
      <c r="A66" s="104"/>
      <c r="B66" s="1">
        <v>42</v>
      </c>
      <c r="C66" s="1" t="s">
        <v>698</v>
      </c>
      <c r="D66" s="1" t="s">
        <v>698</v>
      </c>
      <c r="E66" s="1" t="s">
        <v>698</v>
      </c>
      <c r="F66" s="1" t="s">
        <v>698</v>
      </c>
      <c r="G66" s="1" t="s">
        <v>698</v>
      </c>
      <c r="H66" s="1" t="s">
        <v>698</v>
      </c>
      <c r="I66" s="1" t="s">
        <v>698</v>
      </c>
      <c r="J66" s="1">
        <f t="shared" si="5"/>
        <v>1</v>
      </c>
      <c r="L66" s="1" t="s">
        <v>723</v>
      </c>
      <c r="M66" s="7">
        <v>61</v>
      </c>
      <c r="N66" s="5" t="s">
        <v>274</v>
      </c>
      <c r="O66" s="3" t="s">
        <v>275</v>
      </c>
      <c r="P66" s="3" t="s">
        <v>14</v>
      </c>
      <c r="Q66" s="13">
        <v>2</v>
      </c>
      <c r="R66" s="43">
        <f>VLOOKUP('42'!O66,Malzemeler!C:D,2,0)</f>
        <v>6.3</v>
      </c>
      <c r="S66" s="43">
        <f t="shared" si="1"/>
        <v>12.6</v>
      </c>
    </row>
    <row r="67" spans="1:19" x14ac:dyDescent="0.35">
      <c r="A67" s="104"/>
      <c r="B67" s="1">
        <v>42</v>
      </c>
      <c r="C67" s="1" t="s">
        <v>698</v>
      </c>
      <c r="D67" s="1" t="s">
        <v>698</v>
      </c>
      <c r="E67" s="1" t="s">
        <v>698</v>
      </c>
      <c r="F67" s="1" t="s">
        <v>698</v>
      </c>
      <c r="G67" s="1" t="s">
        <v>698</v>
      </c>
      <c r="H67" s="1" t="s">
        <v>698</v>
      </c>
      <c r="I67" s="1" t="s">
        <v>698</v>
      </c>
      <c r="J67" s="1">
        <f t="shared" si="5"/>
        <v>1</v>
      </c>
      <c r="L67" s="1" t="s">
        <v>723</v>
      </c>
      <c r="M67" s="7">
        <v>62</v>
      </c>
      <c r="N67" s="5" t="s">
        <v>643</v>
      </c>
      <c r="O67" s="3" t="s">
        <v>661</v>
      </c>
      <c r="P67" s="3" t="s">
        <v>14</v>
      </c>
      <c r="Q67" s="13">
        <v>7.56</v>
      </c>
      <c r="R67" s="43">
        <f>VLOOKUP('42'!O67,Malzemeler!C:D,2,0)</f>
        <v>0</v>
      </c>
      <c r="S67" s="43">
        <f t="shared" ref="S67:S133" si="6">+R67*Q67</f>
        <v>0</v>
      </c>
    </row>
    <row r="68" spans="1:19" x14ac:dyDescent="0.35">
      <c r="A68" s="104"/>
      <c r="B68" s="1">
        <v>42</v>
      </c>
      <c r="C68" s="1" t="s">
        <v>698</v>
      </c>
      <c r="D68" s="1" t="s">
        <v>698</v>
      </c>
      <c r="E68" s="1" t="s">
        <v>698</v>
      </c>
      <c r="F68" s="1" t="s">
        <v>698</v>
      </c>
      <c r="G68" s="1" t="s">
        <v>698</v>
      </c>
      <c r="H68" s="1" t="s">
        <v>698</v>
      </c>
      <c r="I68" s="1" t="s">
        <v>698</v>
      </c>
      <c r="J68" s="1">
        <f t="shared" si="5"/>
        <v>1</v>
      </c>
      <c r="L68" s="1" t="s">
        <v>723</v>
      </c>
      <c r="M68" s="7">
        <v>63</v>
      </c>
      <c r="N68" s="5" t="s">
        <v>313</v>
      </c>
      <c r="O68" s="3" t="s">
        <v>314</v>
      </c>
      <c r="P68" s="3" t="s">
        <v>14</v>
      </c>
      <c r="Q68" s="13">
        <v>30.701999999999998</v>
      </c>
      <c r="R68" s="43">
        <f>VLOOKUP('42'!O68,Malzemeler!C:D,2,0)</f>
        <v>1.1399999999999999</v>
      </c>
      <c r="S68" s="43">
        <f t="shared" si="6"/>
        <v>35.000279999999997</v>
      </c>
    </row>
    <row r="69" spans="1:19" x14ac:dyDescent="0.35">
      <c r="A69" s="104"/>
      <c r="B69" s="1">
        <v>42</v>
      </c>
      <c r="C69" s="1" t="s">
        <v>698</v>
      </c>
      <c r="D69" s="1" t="s">
        <v>698</v>
      </c>
      <c r="E69" s="1" t="s">
        <v>698</v>
      </c>
      <c r="F69" s="1" t="s">
        <v>698</v>
      </c>
      <c r="G69" s="1" t="s">
        <v>698</v>
      </c>
      <c r="H69" s="1" t="s">
        <v>698</v>
      </c>
      <c r="I69" s="1" t="s">
        <v>698</v>
      </c>
      <c r="J69" s="1">
        <f t="shared" si="5"/>
        <v>1</v>
      </c>
      <c r="L69" s="1" t="s">
        <v>723</v>
      </c>
      <c r="M69" s="7">
        <v>64</v>
      </c>
      <c r="N69" s="5" t="s">
        <v>315</v>
      </c>
      <c r="O69" s="3" t="s">
        <v>316</v>
      </c>
      <c r="P69" s="3" t="s">
        <v>14</v>
      </c>
      <c r="Q69" s="13">
        <v>61.857575999999995</v>
      </c>
      <c r="R69" s="43">
        <f>VLOOKUP('42'!O69,Malzemeler!C:D,2,0)</f>
        <v>0.35</v>
      </c>
      <c r="S69" s="43">
        <f t="shared" si="6"/>
        <v>21.650151599999997</v>
      </c>
    </row>
    <row r="70" spans="1:19" x14ac:dyDescent="0.35">
      <c r="A70" s="104"/>
      <c r="B70" s="1">
        <v>42</v>
      </c>
      <c r="C70" s="1" t="s">
        <v>698</v>
      </c>
      <c r="D70" s="1" t="s">
        <v>698</v>
      </c>
      <c r="E70" s="1" t="s">
        <v>698</v>
      </c>
      <c r="F70" s="1" t="s">
        <v>698</v>
      </c>
      <c r="G70" s="1" t="s">
        <v>698</v>
      </c>
      <c r="H70" s="1" t="s">
        <v>698</v>
      </c>
      <c r="I70" s="1" t="s">
        <v>698</v>
      </c>
      <c r="J70" s="1">
        <f t="shared" si="5"/>
        <v>1</v>
      </c>
      <c r="L70" s="1" t="s">
        <v>723</v>
      </c>
      <c r="M70" s="7">
        <v>65</v>
      </c>
      <c r="N70" s="5" t="s">
        <v>317</v>
      </c>
      <c r="O70" s="3" t="s">
        <v>318</v>
      </c>
      <c r="P70" s="3" t="s">
        <v>14</v>
      </c>
      <c r="Q70" s="13">
        <v>43.815782999999996</v>
      </c>
      <c r="R70" s="43">
        <f>VLOOKUP('42'!O70,Malzemeler!C:D,2,0)</f>
        <v>0.35</v>
      </c>
      <c r="S70" s="43">
        <f t="shared" si="6"/>
        <v>15.335524049999998</v>
      </c>
    </row>
    <row r="71" spans="1:19" x14ac:dyDescent="0.35">
      <c r="A71" s="104"/>
      <c r="B71" s="1">
        <v>42</v>
      </c>
      <c r="C71" s="1" t="s">
        <v>698</v>
      </c>
      <c r="D71" s="1" t="s">
        <v>698</v>
      </c>
      <c r="E71" s="1" t="s">
        <v>698</v>
      </c>
      <c r="F71" s="1" t="s">
        <v>698</v>
      </c>
      <c r="G71" s="1" t="s">
        <v>698</v>
      </c>
      <c r="H71" s="1" t="s">
        <v>698</v>
      </c>
      <c r="I71" s="1" t="s">
        <v>698</v>
      </c>
      <c r="J71" s="1">
        <f t="shared" si="5"/>
        <v>1</v>
      </c>
      <c r="L71" s="1" t="s">
        <v>723</v>
      </c>
      <c r="M71" s="7">
        <v>66</v>
      </c>
      <c r="N71" s="5" t="s">
        <v>319</v>
      </c>
      <c r="O71" s="3" t="s">
        <v>320</v>
      </c>
      <c r="P71" s="3" t="s">
        <v>14</v>
      </c>
      <c r="Q71" s="13">
        <v>4</v>
      </c>
      <c r="R71" s="43">
        <f>VLOOKUP('42'!O71,Malzemeler!C:D,2,0)</f>
        <v>0.8</v>
      </c>
      <c r="S71" s="43">
        <f t="shared" si="6"/>
        <v>3.2</v>
      </c>
    </row>
    <row r="72" spans="1:19" x14ac:dyDescent="0.35">
      <c r="A72" s="104"/>
      <c r="B72" s="1">
        <v>42</v>
      </c>
      <c r="C72" s="1" t="s">
        <v>698</v>
      </c>
      <c r="D72" s="1" t="s">
        <v>698</v>
      </c>
      <c r="E72" s="1" t="s">
        <v>698</v>
      </c>
      <c r="F72" s="1" t="s">
        <v>698</v>
      </c>
      <c r="G72" s="1" t="s">
        <v>698</v>
      </c>
      <c r="H72" s="1" t="s">
        <v>698</v>
      </c>
      <c r="I72" s="1" t="s">
        <v>698</v>
      </c>
      <c r="J72" s="1">
        <f t="shared" si="5"/>
        <v>1</v>
      </c>
      <c r="L72" s="1" t="s">
        <v>723</v>
      </c>
      <c r="M72" s="7">
        <v>67</v>
      </c>
      <c r="N72" s="5" t="s">
        <v>321</v>
      </c>
      <c r="O72" s="3" t="s">
        <v>322</v>
      </c>
      <c r="P72" s="3" t="s">
        <v>14</v>
      </c>
      <c r="Q72" s="13">
        <v>71.340340000000012</v>
      </c>
      <c r="R72" s="43">
        <f>VLOOKUP('42'!O72,Malzemeler!C:D,2,0)</f>
        <v>0.21</v>
      </c>
      <c r="S72" s="43">
        <f t="shared" si="6"/>
        <v>14.981471400000002</v>
      </c>
    </row>
    <row r="73" spans="1:19" x14ac:dyDescent="0.35">
      <c r="A73" s="104"/>
      <c r="B73" s="1">
        <v>42</v>
      </c>
      <c r="C73" s="1" t="s">
        <v>698</v>
      </c>
      <c r="D73" s="1" t="s">
        <v>698</v>
      </c>
      <c r="E73" s="1" t="s">
        <v>698</v>
      </c>
      <c r="F73" s="1" t="s">
        <v>698</v>
      </c>
      <c r="G73" s="1" t="s">
        <v>698</v>
      </c>
      <c r="H73" s="1" t="s">
        <v>698</v>
      </c>
      <c r="I73" s="1" t="s">
        <v>698</v>
      </c>
      <c r="J73" s="1">
        <f t="shared" si="5"/>
        <v>1</v>
      </c>
      <c r="L73" s="1" t="s">
        <v>723</v>
      </c>
      <c r="M73" s="7">
        <v>68</v>
      </c>
      <c r="N73" s="5" t="s">
        <v>323</v>
      </c>
      <c r="O73" s="3" t="s">
        <v>324</v>
      </c>
      <c r="P73" s="3" t="s">
        <v>14</v>
      </c>
      <c r="Q73" s="13">
        <v>4</v>
      </c>
      <c r="R73" s="43">
        <f>VLOOKUP('42'!O73,Malzemeler!C:D,2,0)</f>
        <v>0.8</v>
      </c>
      <c r="S73" s="43">
        <f t="shared" si="6"/>
        <v>3.2</v>
      </c>
    </row>
    <row r="74" spans="1:19" x14ac:dyDescent="0.35">
      <c r="A74" s="104"/>
      <c r="B74" s="1">
        <v>42</v>
      </c>
      <c r="C74" s="1" t="s">
        <v>698</v>
      </c>
      <c r="D74" s="1" t="s">
        <v>698</v>
      </c>
      <c r="E74" s="1" t="s">
        <v>698</v>
      </c>
      <c r="F74" s="1" t="s">
        <v>698</v>
      </c>
      <c r="G74" s="1" t="s">
        <v>698</v>
      </c>
      <c r="H74" s="1" t="s">
        <v>698</v>
      </c>
      <c r="I74" s="1" t="s">
        <v>698</v>
      </c>
      <c r="J74" s="1">
        <f t="shared" si="5"/>
        <v>1</v>
      </c>
      <c r="L74" s="1" t="s">
        <v>723</v>
      </c>
      <c r="M74" s="7">
        <v>69</v>
      </c>
      <c r="N74" s="5" t="s">
        <v>325</v>
      </c>
      <c r="O74" s="3" t="s">
        <v>326</v>
      </c>
      <c r="P74" s="3" t="s">
        <v>14</v>
      </c>
      <c r="Q74" s="13">
        <v>279.21822499999968</v>
      </c>
      <c r="R74" s="43">
        <f>VLOOKUP('42'!O74,Malzemeler!C:D,2,0)</f>
        <v>0.17</v>
      </c>
      <c r="S74" s="43">
        <f t="shared" si="6"/>
        <v>47.46709824999995</v>
      </c>
    </row>
    <row r="75" spans="1:19" x14ac:dyDescent="0.35">
      <c r="A75" s="104"/>
      <c r="B75" s="1">
        <v>42</v>
      </c>
      <c r="C75" s="1" t="s">
        <v>698</v>
      </c>
      <c r="D75" s="1" t="s">
        <v>698</v>
      </c>
      <c r="E75" s="1" t="s">
        <v>698</v>
      </c>
      <c r="F75" s="1" t="s">
        <v>698</v>
      </c>
      <c r="G75" s="1" t="s">
        <v>698</v>
      </c>
      <c r="H75" s="1" t="s">
        <v>698</v>
      </c>
      <c r="I75" s="1" t="s">
        <v>698</v>
      </c>
      <c r="J75" s="1">
        <f t="shared" si="5"/>
        <v>1</v>
      </c>
      <c r="L75" s="1" t="s">
        <v>723</v>
      </c>
      <c r="M75" s="7">
        <v>70</v>
      </c>
      <c r="N75" s="5" t="s">
        <v>327</v>
      </c>
      <c r="O75" s="3" t="s">
        <v>328</v>
      </c>
      <c r="P75" s="3" t="s">
        <v>14</v>
      </c>
      <c r="Q75" s="13">
        <v>92</v>
      </c>
      <c r="R75" s="43">
        <f>VLOOKUP('42'!O75,Malzemeler!C:D,2,0)</f>
        <v>0.66</v>
      </c>
      <c r="S75" s="43">
        <f t="shared" si="6"/>
        <v>60.720000000000006</v>
      </c>
    </row>
    <row r="76" spans="1:19" x14ac:dyDescent="0.35">
      <c r="A76" s="104"/>
      <c r="B76" s="1">
        <v>42</v>
      </c>
      <c r="C76" s="1" t="s">
        <v>698</v>
      </c>
      <c r="D76" s="1" t="s">
        <v>698</v>
      </c>
      <c r="E76" s="1" t="s">
        <v>698</v>
      </c>
      <c r="F76" s="1" t="s">
        <v>698</v>
      </c>
      <c r="G76" s="1" t="s">
        <v>698</v>
      </c>
      <c r="H76" s="1" t="s">
        <v>698</v>
      </c>
      <c r="I76" s="1" t="s">
        <v>698</v>
      </c>
      <c r="J76" s="1">
        <f t="shared" si="5"/>
        <v>1</v>
      </c>
      <c r="L76" s="1" t="s">
        <v>723</v>
      </c>
      <c r="M76" s="7">
        <v>71</v>
      </c>
      <c r="N76" s="5" t="s">
        <v>329</v>
      </c>
      <c r="O76" s="3" t="s">
        <v>330</v>
      </c>
      <c r="P76" s="3" t="s">
        <v>14</v>
      </c>
      <c r="Q76" s="13">
        <v>92</v>
      </c>
      <c r="R76" s="43">
        <f>VLOOKUP('42'!O76,Malzemeler!C:D,2,0)</f>
        <v>0.28999999999999998</v>
      </c>
      <c r="S76" s="43">
        <f t="shared" si="6"/>
        <v>26.68</v>
      </c>
    </row>
    <row r="77" spans="1:19" x14ac:dyDescent="0.35">
      <c r="A77" s="104"/>
      <c r="B77" s="1">
        <v>42</v>
      </c>
      <c r="C77" s="1" t="s">
        <v>698</v>
      </c>
      <c r="D77" s="1" t="s">
        <v>698</v>
      </c>
      <c r="E77" s="1" t="s">
        <v>698</v>
      </c>
      <c r="F77" s="1" t="s">
        <v>698</v>
      </c>
      <c r="G77" s="1" t="s">
        <v>698</v>
      </c>
      <c r="H77" s="1" t="s">
        <v>698</v>
      </c>
      <c r="I77" s="1" t="s">
        <v>698</v>
      </c>
      <c r="J77" s="1">
        <f t="shared" si="5"/>
        <v>1</v>
      </c>
      <c r="L77" s="1" t="s">
        <v>723</v>
      </c>
      <c r="M77" s="7">
        <v>72</v>
      </c>
      <c r="N77" s="5" t="s">
        <v>331</v>
      </c>
      <c r="O77" s="3" t="s">
        <v>332</v>
      </c>
      <c r="P77" s="3" t="s">
        <v>14</v>
      </c>
      <c r="Q77" s="13">
        <v>92</v>
      </c>
      <c r="R77" s="43">
        <f>VLOOKUP('42'!O77,Malzemeler!C:D,2,0)</f>
        <v>0.28999999999999998</v>
      </c>
      <c r="S77" s="43">
        <f t="shared" si="6"/>
        <v>26.68</v>
      </c>
    </row>
    <row r="78" spans="1:19" x14ac:dyDescent="0.35">
      <c r="A78" s="104"/>
      <c r="B78" s="1">
        <v>42</v>
      </c>
      <c r="C78" s="1" t="s">
        <v>698</v>
      </c>
      <c r="D78" s="1" t="s">
        <v>698</v>
      </c>
      <c r="E78" s="1" t="s">
        <v>698</v>
      </c>
      <c r="F78" s="1" t="s">
        <v>698</v>
      </c>
      <c r="G78" s="1" t="s">
        <v>698</v>
      </c>
      <c r="H78" s="1" t="s">
        <v>698</v>
      </c>
      <c r="I78" s="1" t="s">
        <v>698</v>
      </c>
      <c r="J78" s="1">
        <f t="shared" si="5"/>
        <v>1</v>
      </c>
      <c r="L78" s="1" t="s">
        <v>723</v>
      </c>
      <c r="M78" s="7">
        <v>73</v>
      </c>
      <c r="N78" s="5" t="s">
        <v>333</v>
      </c>
      <c r="O78" s="3" t="s">
        <v>334</v>
      </c>
      <c r="P78" s="3" t="s">
        <v>14</v>
      </c>
      <c r="Q78" s="13">
        <v>92</v>
      </c>
      <c r="R78" s="43">
        <f>VLOOKUP('42'!O78,Malzemeler!C:D,2,0)</f>
        <v>0.18</v>
      </c>
      <c r="S78" s="43">
        <f t="shared" si="6"/>
        <v>16.559999999999999</v>
      </c>
    </row>
    <row r="79" spans="1:19" x14ac:dyDescent="0.35">
      <c r="A79" s="104"/>
      <c r="B79" s="1">
        <v>42</v>
      </c>
      <c r="C79" s="1" t="s">
        <v>698</v>
      </c>
      <c r="D79" s="1" t="s">
        <v>698</v>
      </c>
      <c r="E79" s="1" t="s">
        <v>698</v>
      </c>
      <c r="F79" s="1" t="s">
        <v>698</v>
      </c>
      <c r="G79" s="1" t="s">
        <v>698</v>
      </c>
      <c r="H79" s="1" t="s">
        <v>698</v>
      </c>
      <c r="I79" s="1" t="s">
        <v>698</v>
      </c>
      <c r="J79" s="1">
        <f t="shared" si="5"/>
        <v>1</v>
      </c>
      <c r="L79" s="1" t="s">
        <v>723</v>
      </c>
      <c r="M79" s="7">
        <v>74</v>
      </c>
      <c r="N79" s="5" t="s">
        <v>335</v>
      </c>
      <c r="O79" s="3" t="s">
        <v>336</v>
      </c>
      <c r="P79" s="3" t="s">
        <v>14</v>
      </c>
      <c r="Q79" s="13">
        <v>92</v>
      </c>
      <c r="R79" s="43">
        <f>VLOOKUP('42'!O79,Malzemeler!C:D,2,0)</f>
        <v>0.26</v>
      </c>
      <c r="S79" s="43">
        <f t="shared" si="6"/>
        <v>23.92</v>
      </c>
    </row>
    <row r="80" spans="1:19" x14ac:dyDescent="0.35">
      <c r="A80" s="104"/>
      <c r="B80" s="1">
        <v>42</v>
      </c>
      <c r="C80" s="1" t="s">
        <v>698</v>
      </c>
      <c r="D80" s="1" t="s">
        <v>698</v>
      </c>
      <c r="E80" s="1" t="s">
        <v>698</v>
      </c>
      <c r="F80" s="1" t="s">
        <v>698</v>
      </c>
      <c r="G80" s="1" t="s">
        <v>698</v>
      </c>
      <c r="H80" s="1" t="s">
        <v>698</v>
      </c>
      <c r="I80" s="1" t="s">
        <v>698</v>
      </c>
      <c r="J80" s="1">
        <f t="shared" si="5"/>
        <v>1</v>
      </c>
      <c r="L80" s="1" t="s">
        <v>723</v>
      </c>
      <c r="M80" s="7">
        <v>75</v>
      </c>
      <c r="N80" s="5" t="s">
        <v>644</v>
      </c>
      <c r="O80" s="3" t="s">
        <v>662</v>
      </c>
      <c r="P80" s="3" t="s">
        <v>14</v>
      </c>
      <c r="Q80" s="13">
        <v>0.60363849599999997</v>
      </c>
      <c r="R80" s="43">
        <f>VLOOKUP('42'!O80,Malzemeler!C:D,2,0)</f>
        <v>0</v>
      </c>
      <c r="S80" s="43">
        <f t="shared" si="6"/>
        <v>0</v>
      </c>
    </row>
    <row r="81" spans="1:19" x14ac:dyDescent="0.35">
      <c r="A81" s="104"/>
      <c r="B81" s="1">
        <v>42</v>
      </c>
      <c r="C81" s="1" t="s">
        <v>698</v>
      </c>
      <c r="D81" s="1" t="s">
        <v>698</v>
      </c>
      <c r="E81" s="1" t="s">
        <v>698</v>
      </c>
      <c r="F81" s="1" t="s">
        <v>698</v>
      </c>
      <c r="G81" s="1" t="s">
        <v>698</v>
      </c>
      <c r="H81" s="1" t="s">
        <v>698</v>
      </c>
      <c r="I81" s="1" t="s">
        <v>698</v>
      </c>
      <c r="J81" s="1">
        <f t="shared" si="5"/>
        <v>1</v>
      </c>
      <c r="L81" s="1" t="s">
        <v>723</v>
      </c>
      <c r="M81" s="7">
        <v>76</v>
      </c>
      <c r="N81" s="5" t="s">
        <v>645</v>
      </c>
      <c r="O81" s="3" t="s">
        <v>663</v>
      </c>
      <c r="P81" s="3" t="s">
        <v>14</v>
      </c>
      <c r="Q81" s="13">
        <v>0.15090962399999999</v>
      </c>
      <c r="R81" s="43">
        <f>VLOOKUP('42'!O81,Malzemeler!C:D,2,0)</f>
        <v>0</v>
      </c>
      <c r="S81" s="43">
        <f t="shared" si="6"/>
        <v>0</v>
      </c>
    </row>
    <row r="82" spans="1:19" x14ac:dyDescent="0.35">
      <c r="A82" s="104"/>
      <c r="B82" s="1">
        <v>42</v>
      </c>
      <c r="C82" s="1" t="s">
        <v>698</v>
      </c>
      <c r="D82" s="1" t="s">
        <v>698</v>
      </c>
      <c r="E82" s="1" t="s">
        <v>698</v>
      </c>
      <c r="F82" s="1" t="s">
        <v>698</v>
      </c>
      <c r="G82" s="1" t="s">
        <v>698</v>
      </c>
      <c r="H82" s="1" t="s">
        <v>698</v>
      </c>
      <c r="I82" s="1" t="s">
        <v>698</v>
      </c>
      <c r="J82" s="1">
        <f t="shared" si="5"/>
        <v>1</v>
      </c>
      <c r="L82" s="1" t="s">
        <v>723</v>
      </c>
      <c r="M82" s="7">
        <v>77</v>
      </c>
      <c r="N82" s="5" t="s">
        <v>646</v>
      </c>
      <c r="O82" s="3" t="s">
        <v>664</v>
      </c>
      <c r="P82" s="3" t="s">
        <v>14</v>
      </c>
      <c r="Q82" s="13">
        <v>30</v>
      </c>
      <c r="R82" s="43">
        <f>VLOOKUP('42'!O82,Malzemeler!C:D,2,0)</f>
        <v>0</v>
      </c>
      <c r="S82" s="43">
        <f t="shared" si="6"/>
        <v>0</v>
      </c>
    </row>
    <row r="83" spans="1:19" x14ac:dyDescent="0.35">
      <c r="A83" s="104"/>
      <c r="B83" s="1">
        <v>42</v>
      </c>
      <c r="C83" s="1" t="s">
        <v>698</v>
      </c>
      <c r="D83" s="1" t="s">
        <v>698</v>
      </c>
      <c r="E83" s="1" t="s">
        <v>698</v>
      </c>
      <c r="F83" s="1" t="s">
        <v>698</v>
      </c>
      <c r="G83" s="1" t="s">
        <v>698</v>
      </c>
      <c r="H83" s="1" t="s">
        <v>698</v>
      </c>
      <c r="I83" s="1" t="s">
        <v>698</v>
      </c>
      <c r="J83" s="1">
        <f t="shared" si="5"/>
        <v>1</v>
      </c>
      <c r="L83" s="1" t="s">
        <v>723</v>
      </c>
      <c r="M83" s="7">
        <v>78</v>
      </c>
      <c r="N83" s="5" t="s">
        <v>337</v>
      </c>
      <c r="O83" s="3" t="s">
        <v>338</v>
      </c>
      <c r="P83" s="3" t="s">
        <v>14</v>
      </c>
      <c r="Q83" s="13">
        <v>12</v>
      </c>
      <c r="R83" s="43">
        <f>VLOOKUP('42'!O83,Malzemeler!C:D,2,0)</f>
        <v>2.25</v>
      </c>
      <c r="S83" s="43">
        <f t="shared" si="6"/>
        <v>27</v>
      </c>
    </row>
    <row r="84" spans="1:19" x14ac:dyDescent="0.35">
      <c r="A84" s="104"/>
      <c r="B84" s="1">
        <v>42</v>
      </c>
      <c r="C84" s="1" t="s">
        <v>698</v>
      </c>
      <c r="D84" s="1" t="s">
        <v>698</v>
      </c>
      <c r="E84" s="1" t="s">
        <v>698</v>
      </c>
      <c r="F84" s="1" t="s">
        <v>698</v>
      </c>
      <c r="G84" s="1" t="s">
        <v>698</v>
      </c>
      <c r="H84" s="1" t="s">
        <v>698</v>
      </c>
      <c r="I84" s="1" t="s">
        <v>698</v>
      </c>
      <c r="J84" s="1">
        <f t="shared" si="5"/>
        <v>1</v>
      </c>
      <c r="L84" s="1" t="s">
        <v>723</v>
      </c>
      <c r="M84" s="7">
        <v>79</v>
      </c>
      <c r="N84" s="5" t="s">
        <v>647</v>
      </c>
      <c r="O84" s="3" t="s">
        <v>665</v>
      </c>
      <c r="P84" s="3" t="s">
        <v>14</v>
      </c>
      <c r="Q84" s="13">
        <v>16</v>
      </c>
      <c r="R84" s="43">
        <f>VLOOKUP('42'!O84,Malzemeler!C:D,2,0)</f>
        <v>0</v>
      </c>
      <c r="S84" s="43">
        <f t="shared" si="6"/>
        <v>0</v>
      </c>
    </row>
    <row r="85" spans="1:19" x14ac:dyDescent="0.35">
      <c r="A85" s="104"/>
      <c r="B85" s="1">
        <v>42</v>
      </c>
      <c r="C85" s="1" t="s">
        <v>698</v>
      </c>
      <c r="D85" s="1" t="s">
        <v>698</v>
      </c>
      <c r="E85" s="1" t="s">
        <v>698</v>
      </c>
      <c r="F85" s="1" t="s">
        <v>698</v>
      </c>
      <c r="G85" s="1" t="s">
        <v>698</v>
      </c>
      <c r="H85" s="1" t="s">
        <v>698</v>
      </c>
      <c r="I85" s="1" t="s">
        <v>698</v>
      </c>
      <c r="J85" s="1">
        <f t="shared" si="5"/>
        <v>1</v>
      </c>
      <c r="L85" s="1" t="s">
        <v>723</v>
      </c>
      <c r="M85" s="7">
        <v>80</v>
      </c>
      <c r="N85" s="5" t="s">
        <v>341</v>
      </c>
      <c r="O85" s="3" t="s">
        <v>342</v>
      </c>
      <c r="P85" s="3" t="s">
        <v>14</v>
      </c>
      <c r="Q85" s="13">
        <v>298.97828399999997</v>
      </c>
      <c r="R85" s="43">
        <f>VLOOKUP('42'!O85,Malzemeler!C:D,2,0)</f>
        <v>0.2</v>
      </c>
      <c r="S85" s="43">
        <f t="shared" si="6"/>
        <v>59.795656799999996</v>
      </c>
    </row>
    <row r="86" spans="1:19" x14ac:dyDescent="0.35">
      <c r="A86" s="104"/>
      <c r="B86" s="1">
        <v>42</v>
      </c>
      <c r="C86" s="1" t="s">
        <v>698</v>
      </c>
      <c r="D86" s="1" t="s">
        <v>698</v>
      </c>
      <c r="E86" s="1" t="s">
        <v>698</v>
      </c>
      <c r="F86" s="1" t="s">
        <v>698</v>
      </c>
      <c r="G86" s="1" t="s">
        <v>698</v>
      </c>
      <c r="H86" s="1" t="s">
        <v>698</v>
      </c>
      <c r="I86" s="1" t="s">
        <v>698</v>
      </c>
      <c r="J86" s="1">
        <f t="shared" si="5"/>
        <v>1</v>
      </c>
      <c r="L86" s="1" t="s">
        <v>723</v>
      </c>
      <c r="M86" s="7">
        <v>81</v>
      </c>
      <c r="N86" s="5" t="s">
        <v>343</v>
      </c>
      <c r="O86" s="3" t="s">
        <v>344</v>
      </c>
      <c r="P86" s="3" t="s">
        <v>14</v>
      </c>
      <c r="Q86" s="13">
        <v>24</v>
      </c>
      <c r="R86" s="43">
        <f>VLOOKUP('42'!O86,Malzemeler!C:D,2,0)</f>
        <v>1</v>
      </c>
      <c r="S86" s="43">
        <f t="shared" si="6"/>
        <v>24</v>
      </c>
    </row>
    <row r="87" spans="1:19" x14ac:dyDescent="0.35">
      <c r="A87" s="104"/>
      <c r="B87" s="1">
        <v>42</v>
      </c>
      <c r="C87" s="1" t="s">
        <v>698</v>
      </c>
      <c r="D87" s="1" t="s">
        <v>698</v>
      </c>
      <c r="E87" s="1" t="s">
        <v>698</v>
      </c>
      <c r="F87" s="1" t="s">
        <v>698</v>
      </c>
      <c r="G87" s="1" t="s">
        <v>698</v>
      </c>
      <c r="H87" s="1" t="s">
        <v>698</v>
      </c>
      <c r="I87" s="1" t="s">
        <v>698</v>
      </c>
      <c r="J87" s="1">
        <f t="shared" si="5"/>
        <v>1</v>
      </c>
      <c r="L87" s="1" t="s">
        <v>723</v>
      </c>
      <c r="M87" s="7">
        <v>82</v>
      </c>
      <c r="N87" s="5" t="s">
        <v>396</v>
      </c>
      <c r="O87" s="3" t="s">
        <v>397</v>
      </c>
      <c r="P87" s="3" t="s">
        <v>14</v>
      </c>
      <c r="Q87" s="13">
        <v>18.041792999999998</v>
      </c>
      <c r="R87" s="43">
        <f>VLOOKUP('42'!O87,Malzemeler!C:D,2,0)</f>
        <v>3.52</v>
      </c>
      <c r="S87" s="43">
        <f t="shared" si="6"/>
        <v>63.507111359999996</v>
      </c>
    </row>
    <row r="88" spans="1:19" x14ac:dyDescent="0.35">
      <c r="A88" s="104"/>
      <c r="B88" s="1">
        <v>42</v>
      </c>
      <c r="C88" s="1" t="s">
        <v>698</v>
      </c>
      <c r="D88" s="1" t="s">
        <v>698</v>
      </c>
      <c r="E88" s="1" t="s">
        <v>698</v>
      </c>
      <c r="F88" s="1" t="s">
        <v>698</v>
      </c>
      <c r="G88" s="1" t="s">
        <v>698</v>
      </c>
      <c r="H88" s="1" t="s">
        <v>698</v>
      </c>
      <c r="I88" s="1" t="s">
        <v>698</v>
      </c>
      <c r="J88" s="1">
        <f t="shared" si="5"/>
        <v>1</v>
      </c>
      <c r="L88" s="1" t="s">
        <v>723</v>
      </c>
      <c r="M88" s="7">
        <v>83</v>
      </c>
      <c r="N88" s="5" t="s">
        <v>349</v>
      </c>
      <c r="O88" s="3" t="s">
        <v>350</v>
      </c>
      <c r="P88" s="3" t="s">
        <v>14</v>
      </c>
      <c r="Q88" s="13">
        <v>2</v>
      </c>
      <c r="R88" s="43">
        <f>VLOOKUP('42'!O88,Malzemeler!C:D,2,0)</f>
        <v>5.44</v>
      </c>
      <c r="S88" s="43">
        <f t="shared" si="6"/>
        <v>10.88</v>
      </c>
    </row>
    <row r="89" spans="1:19" x14ac:dyDescent="0.35">
      <c r="A89" s="104"/>
      <c r="B89" s="1">
        <v>42</v>
      </c>
      <c r="C89" s="1" t="s">
        <v>698</v>
      </c>
      <c r="D89" s="1" t="s">
        <v>698</v>
      </c>
      <c r="E89" s="1" t="s">
        <v>698</v>
      </c>
      <c r="F89" s="1" t="s">
        <v>698</v>
      </c>
      <c r="G89" s="1" t="s">
        <v>698</v>
      </c>
      <c r="H89" s="1" t="s">
        <v>698</v>
      </c>
      <c r="I89" s="1" t="s">
        <v>698</v>
      </c>
      <c r="J89" s="1">
        <f t="shared" si="5"/>
        <v>1</v>
      </c>
      <c r="L89" s="1" t="s">
        <v>723</v>
      </c>
      <c r="M89" s="7">
        <v>84</v>
      </c>
      <c r="N89" s="5" t="s">
        <v>351</v>
      </c>
      <c r="O89" s="3" t="s">
        <v>352</v>
      </c>
      <c r="P89" s="3" t="s">
        <v>14</v>
      </c>
      <c r="Q89" s="13">
        <v>2</v>
      </c>
      <c r="R89" s="43">
        <f>VLOOKUP('42'!O89,Malzemeler!C:D,2,0)</f>
        <v>2.98</v>
      </c>
      <c r="S89" s="43">
        <f t="shared" si="6"/>
        <v>5.96</v>
      </c>
    </row>
    <row r="90" spans="1:19" x14ac:dyDescent="0.35">
      <c r="A90" s="104"/>
      <c r="B90" s="1">
        <v>42</v>
      </c>
      <c r="C90" s="1" t="s">
        <v>698</v>
      </c>
      <c r="D90" s="1" t="s">
        <v>698</v>
      </c>
      <c r="E90" s="1" t="s">
        <v>698</v>
      </c>
      <c r="F90" s="1" t="s">
        <v>698</v>
      </c>
      <c r="G90" s="1" t="s">
        <v>698</v>
      </c>
      <c r="H90" s="1" t="s">
        <v>698</v>
      </c>
      <c r="I90" s="1" t="s">
        <v>698</v>
      </c>
      <c r="J90" s="1">
        <f t="shared" si="5"/>
        <v>1</v>
      </c>
      <c r="L90" s="1" t="s">
        <v>723</v>
      </c>
      <c r="M90" s="7">
        <v>85</v>
      </c>
      <c r="N90" s="5" t="s">
        <v>648</v>
      </c>
      <c r="O90" s="3" t="s">
        <v>648</v>
      </c>
      <c r="P90" s="3" t="s">
        <v>14</v>
      </c>
      <c r="Q90" s="13">
        <v>20</v>
      </c>
      <c r="R90" s="43">
        <f>VLOOKUP('42'!O90,Malzemeler!C:D,2,0)</f>
        <v>0</v>
      </c>
      <c r="S90" s="43">
        <f t="shared" si="6"/>
        <v>0</v>
      </c>
    </row>
    <row r="91" spans="1:19" x14ac:dyDescent="0.35">
      <c r="A91" s="104"/>
      <c r="B91" s="1">
        <v>42</v>
      </c>
      <c r="C91" s="1" t="s">
        <v>698</v>
      </c>
      <c r="D91" s="1" t="s">
        <v>698</v>
      </c>
      <c r="E91" s="1" t="s">
        <v>698</v>
      </c>
      <c r="F91" s="1" t="s">
        <v>698</v>
      </c>
      <c r="G91" s="1" t="s">
        <v>698</v>
      </c>
      <c r="H91" s="1" t="s">
        <v>698</v>
      </c>
      <c r="I91" s="1" t="s">
        <v>698</v>
      </c>
      <c r="J91" s="1">
        <f t="shared" si="5"/>
        <v>1</v>
      </c>
      <c r="L91" s="1" t="s">
        <v>723</v>
      </c>
      <c r="M91" s="7">
        <v>86</v>
      </c>
      <c r="N91" s="5" t="s">
        <v>649</v>
      </c>
      <c r="O91" s="3" t="s">
        <v>649</v>
      </c>
      <c r="P91" s="3" t="s">
        <v>14</v>
      </c>
      <c r="Q91" s="13">
        <v>8</v>
      </c>
      <c r="R91" s="43">
        <f>VLOOKUP('42'!O91,Malzemeler!C:D,2,0)</f>
        <v>0</v>
      </c>
      <c r="S91" s="43">
        <f t="shared" si="6"/>
        <v>0</v>
      </c>
    </row>
    <row r="92" spans="1:19" x14ac:dyDescent="0.35">
      <c r="A92" s="104"/>
      <c r="B92" s="1">
        <v>42</v>
      </c>
      <c r="C92" s="1" t="s">
        <v>698</v>
      </c>
      <c r="D92" s="1" t="s">
        <v>698</v>
      </c>
      <c r="E92" s="1" t="s">
        <v>698</v>
      </c>
      <c r="F92" s="1" t="s">
        <v>698</v>
      </c>
      <c r="G92" s="1" t="s">
        <v>698</v>
      </c>
      <c r="H92" s="1" t="s">
        <v>698</v>
      </c>
      <c r="I92" s="1" t="s">
        <v>698</v>
      </c>
      <c r="J92" s="1">
        <f t="shared" si="0"/>
        <v>1</v>
      </c>
      <c r="L92" s="1" t="s">
        <v>723</v>
      </c>
      <c r="M92" s="7">
        <v>87</v>
      </c>
      <c r="N92" s="5" t="s">
        <v>731</v>
      </c>
      <c r="O92" s="3" t="s">
        <v>732</v>
      </c>
      <c r="P92" s="3" t="s">
        <v>14</v>
      </c>
      <c r="Q92" s="3">
        <v>89.11</v>
      </c>
      <c r="R92" s="43">
        <f>VLOOKUP('42'!O92,Malzemeler!C:D,2,0)</f>
        <v>0</v>
      </c>
      <c r="S92" s="43">
        <f t="shared" si="6"/>
        <v>0</v>
      </c>
    </row>
    <row r="93" spans="1:19" ht="15" customHeight="1" x14ac:dyDescent="0.35">
      <c r="A93" s="104" t="s">
        <v>722</v>
      </c>
      <c r="B93" s="1">
        <v>42</v>
      </c>
      <c r="C93" s="1" t="s">
        <v>698</v>
      </c>
      <c r="D93" s="1" t="s">
        <v>698</v>
      </c>
      <c r="E93" s="1" t="s">
        <v>698</v>
      </c>
      <c r="F93" s="1" t="s">
        <v>698</v>
      </c>
      <c r="G93" s="1" t="s">
        <v>698</v>
      </c>
      <c r="H93" s="1" t="s">
        <v>698</v>
      </c>
      <c r="I93" s="1" t="s">
        <v>698</v>
      </c>
      <c r="J93" s="1">
        <f t="shared" si="0"/>
        <v>1</v>
      </c>
      <c r="L93" s="1" t="s">
        <v>722</v>
      </c>
      <c r="M93" s="7">
        <v>1</v>
      </c>
      <c r="N93" s="5" t="s">
        <v>27</v>
      </c>
      <c r="O93" s="3" t="s">
        <v>28</v>
      </c>
      <c r="P93" s="3" t="s">
        <v>14</v>
      </c>
      <c r="Q93" s="3">
        <v>1</v>
      </c>
      <c r="R93" s="43">
        <f>VLOOKUP('42'!O93,Malzemeler!C:D,2,0)</f>
        <v>4.76</v>
      </c>
      <c r="S93" s="43">
        <f t="shared" si="6"/>
        <v>4.76</v>
      </c>
    </row>
    <row r="94" spans="1:19" x14ac:dyDescent="0.35">
      <c r="A94" s="104"/>
      <c r="B94" s="1">
        <v>42</v>
      </c>
      <c r="C94" s="1" t="s">
        <v>698</v>
      </c>
      <c r="D94" s="1" t="s">
        <v>698</v>
      </c>
      <c r="E94" s="1" t="s">
        <v>698</v>
      </c>
      <c r="F94" s="1" t="s">
        <v>698</v>
      </c>
      <c r="G94" s="1" t="s">
        <v>698</v>
      </c>
      <c r="H94" s="1" t="s">
        <v>698</v>
      </c>
      <c r="I94" s="1" t="s">
        <v>698</v>
      </c>
      <c r="J94" s="1">
        <f t="shared" si="0"/>
        <v>1</v>
      </c>
      <c r="L94" s="1" t="s">
        <v>722</v>
      </c>
      <c r="M94" s="7">
        <v>2</v>
      </c>
      <c r="N94" s="5" t="s">
        <v>29</v>
      </c>
      <c r="O94" s="3" t="s">
        <v>30</v>
      </c>
      <c r="P94" s="3" t="s">
        <v>14</v>
      </c>
      <c r="Q94" s="3">
        <v>1</v>
      </c>
      <c r="R94" s="43">
        <f>VLOOKUP('42'!O94,Malzemeler!C:D,2,0)</f>
        <v>4.76</v>
      </c>
      <c r="S94" s="43">
        <f t="shared" si="6"/>
        <v>4.76</v>
      </c>
    </row>
    <row r="95" spans="1:19" x14ac:dyDescent="0.35">
      <c r="A95" s="104"/>
      <c r="B95" s="1">
        <v>42</v>
      </c>
      <c r="C95" s="1" t="s">
        <v>698</v>
      </c>
      <c r="D95" s="1" t="s">
        <v>698</v>
      </c>
      <c r="E95" s="1" t="s">
        <v>698</v>
      </c>
      <c r="F95" s="1" t="s">
        <v>698</v>
      </c>
      <c r="G95" s="1" t="s">
        <v>698</v>
      </c>
      <c r="H95" s="1" t="s">
        <v>698</v>
      </c>
      <c r="I95" s="1" t="s">
        <v>698</v>
      </c>
      <c r="J95" s="1">
        <f t="shared" si="0"/>
        <v>1</v>
      </c>
      <c r="L95" s="1" t="s">
        <v>722</v>
      </c>
      <c r="M95" s="7">
        <v>3</v>
      </c>
      <c r="N95" s="5" t="s">
        <v>367</v>
      </c>
      <c r="O95" s="3" t="s">
        <v>541</v>
      </c>
      <c r="P95" s="3" t="s">
        <v>14</v>
      </c>
      <c r="Q95" s="3">
        <v>1</v>
      </c>
      <c r="R95" s="43">
        <f>VLOOKUP('42'!O95,Malzemeler!C:D,2,0)</f>
        <v>0</v>
      </c>
      <c r="S95" s="43">
        <f t="shared" si="6"/>
        <v>0</v>
      </c>
    </row>
    <row r="96" spans="1:19" x14ac:dyDescent="0.35">
      <c r="A96" s="104"/>
      <c r="B96" s="1">
        <v>42</v>
      </c>
      <c r="C96" s="1" t="s">
        <v>698</v>
      </c>
      <c r="D96" s="1" t="s">
        <v>698</v>
      </c>
      <c r="E96" s="1" t="s">
        <v>698</v>
      </c>
      <c r="F96" s="1" t="s">
        <v>698</v>
      </c>
      <c r="G96" s="1" t="s">
        <v>698</v>
      </c>
      <c r="H96" s="1" t="s">
        <v>698</v>
      </c>
      <c r="I96" s="1" t="s">
        <v>698</v>
      </c>
      <c r="J96" s="1">
        <f t="shared" si="0"/>
        <v>1</v>
      </c>
      <c r="L96" s="1" t="s">
        <v>722</v>
      </c>
      <c r="M96" s="7">
        <v>4</v>
      </c>
      <c r="N96" s="5" t="s">
        <v>25</v>
      </c>
      <c r="O96" s="3" t="s">
        <v>26</v>
      </c>
      <c r="P96" s="3" t="s">
        <v>14</v>
      </c>
      <c r="Q96" s="3">
        <v>1</v>
      </c>
      <c r="R96" s="43">
        <f>VLOOKUP('42'!O96,Malzemeler!C:D,2,0)</f>
        <v>40.53</v>
      </c>
      <c r="S96" s="43">
        <f t="shared" si="6"/>
        <v>40.53</v>
      </c>
    </row>
    <row r="97" spans="1:19" x14ac:dyDescent="0.35">
      <c r="A97" s="104"/>
      <c r="B97" s="1">
        <v>42</v>
      </c>
      <c r="C97" s="1" t="s">
        <v>698</v>
      </c>
      <c r="D97" s="1" t="s">
        <v>698</v>
      </c>
      <c r="E97" s="1" t="s">
        <v>698</v>
      </c>
      <c r="F97" s="1" t="s">
        <v>698</v>
      </c>
      <c r="G97" s="1" t="s">
        <v>698</v>
      </c>
      <c r="H97" s="1" t="s">
        <v>698</v>
      </c>
      <c r="I97" s="1" t="s">
        <v>698</v>
      </c>
      <c r="J97" s="1">
        <f t="shared" si="0"/>
        <v>1</v>
      </c>
      <c r="L97" s="1" t="s">
        <v>722</v>
      </c>
      <c r="M97" s="7">
        <v>5</v>
      </c>
      <c r="N97" s="5" t="s">
        <v>49</v>
      </c>
      <c r="O97" s="3" t="s">
        <v>50</v>
      </c>
      <c r="P97" s="3" t="s">
        <v>14</v>
      </c>
      <c r="Q97" s="3">
        <v>1</v>
      </c>
      <c r="R97" s="43">
        <f>VLOOKUP('42'!O97,Malzemeler!C:D,2,0)</f>
        <v>46.47</v>
      </c>
      <c r="S97" s="43">
        <f t="shared" si="6"/>
        <v>46.47</v>
      </c>
    </row>
    <row r="98" spans="1:19" x14ac:dyDescent="0.35">
      <c r="A98" s="104"/>
      <c r="B98" s="1">
        <v>42</v>
      </c>
      <c r="C98" s="1" t="s">
        <v>698</v>
      </c>
      <c r="D98" s="1" t="s">
        <v>698</v>
      </c>
      <c r="E98" s="1" t="s">
        <v>698</v>
      </c>
      <c r="F98" s="1" t="s">
        <v>698</v>
      </c>
      <c r="G98" s="1" t="s">
        <v>698</v>
      </c>
      <c r="H98" s="1" t="s">
        <v>698</v>
      </c>
      <c r="I98" s="1" t="s">
        <v>698</v>
      </c>
      <c r="J98" s="1">
        <f t="shared" si="0"/>
        <v>1</v>
      </c>
      <c r="L98" s="1" t="s">
        <v>722</v>
      </c>
      <c r="M98" s="7">
        <v>6</v>
      </c>
      <c r="N98" s="5" t="s">
        <v>51</v>
      </c>
      <c r="O98" s="3" t="s">
        <v>52</v>
      </c>
      <c r="P98" s="3" t="s">
        <v>14</v>
      </c>
      <c r="Q98" s="3">
        <v>1</v>
      </c>
      <c r="R98" s="43">
        <f>VLOOKUP('42'!O98,Malzemeler!C:D,2,0)</f>
        <v>74.48</v>
      </c>
      <c r="S98" s="43">
        <f t="shared" si="6"/>
        <v>74.48</v>
      </c>
    </row>
    <row r="99" spans="1:19" x14ac:dyDescent="0.35">
      <c r="A99" s="104"/>
      <c r="B99" s="1">
        <v>42</v>
      </c>
      <c r="C99" s="1" t="s">
        <v>698</v>
      </c>
      <c r="D99" s="1" t="s">
        <v>698</v>
      </c>
      <c r="E99" s="1" t="s">
        <v>698</v>
      </c>
      <c r="F99" s="1" t="s">
        <v>698</v>
      </c>
      <c r="G99" s="1" t="s">
        <v>698</v>
      </c>
      <c r="H99" s="1" t="s">
        <v>698</v>
      </c>
      <c r="I99" s="1" t="s">
        <v>698</v>
      </c>
      <c r="J99" s="1">
        <f t="shared" si="0"/>
        <v>1</v>
      </c>
      <c r="L99" s="1" t="s">
        <v>722</v>
      </c>
      <c r="M99" s="7">
        <v>7</v>
      </c>
      <c r="N99" s="5" t="s">
        <v>31</v>
      </c>
      <c r="O99" s="3" t="s">
        <v>32</v>
      </c>
      <c r="P99" s="3" t="s">
        <v>14</v>
      </c>
      <c r="Q99" s="3">
        <v>1</v>
      </c>
      <c r="R99" s="43">
        <f>VLOOKUP('42'!O99,Malzemeler!C:D,2,0)</f>
        <v>675.52</v>
      </c>
      <c r="S99" s="43">
        <f t="shared" si="6"/>
        <v>675.52</v>
      </c>
    </row>
    <row r="100" spans="1:19" x14ac:dyDescent="0.35">
      <c r="A100" s="104"/>
      <c r="B100" s="1">
        <v>42</v>
      </c>
      <c r="C100" s="1" t="s">
        <v>698</v>
      </c>
      <c r="D100" s="1" t="s">
        <v>698</v>
      </c>
      <c r="E100" s="1" t="s">
        <v>698</v>
      </c>
      <c r="F100" s="1" t="s">
        <v>698</v>
      </c>
      <c r="G100" s="1" t="s">
        <v>698</v>
      </c>
      <c r="H100" s="1" t="s">
        <v>698</v>
      </c>
      <c r="I100" s="1" t="s">
        <v>698</v>
      </c>
      <c r="J100" s="1">
        <f t="shared" si="0"/>
        <v>1</v>
      </c>
      <c r="L100" s="1" t="s">
        <v>722</v>
      </c>
      <c r="M100" s="7">
        <v>8</v>
      </c>
      <c r="N100" s="5" t="s">
        <v>33</v>
      </c>
      <c r="O100" s="3" t="s">
        <v>34</v>
      </c>
      <c r="P100" s="3" t="s">
        <v>14</v>
      </c>
      <c r="Q100" s="3">
        <v>1</v>
      </c>
      <c r="R100" s="43">
        <f>VLOOKUP('42'!O100,Malzemeler!C:D,2,0)</f>
        <v>23.17</v>
      </c>
      <c r="S100" s="43">
        <f t="shared" si="6"/>
        <v>23.17</v>
      </c>
    </row>
    <row r="101" spans="1:19" x14ac:dyDescent="0.35">
      <c r="A101" s="104"/>
      <c r="B101" s="1">
        <v>42</v>
      </c>
      <c r="C101" s="1" t="s">
        <v>698</v>
      </c>
      <c r="D101" s="1" t="s">
        <v>698</v>
      </c>
      <c r="E101" s="1" t="s">
        <v>698</v>
      </c>
      <c r="F101" s="1" t="s">
        <v>698</v>
      </c>
      <c r="G101" s="1" t="s">
        <v>698</v>
      </c>
      <c r="H101" s="1" t="s">
        <v>698</v>
      </c>
      <c r="I101" s="1" t="s">
        <v>698</v>
      </c>
      <c r="J101" s="1">
        <f t="shared" si="0"/>
        <v>1</v>
      </c>
      <c r="L101" s="1" t="s">
        <v>722</v>
      </c>
      <c r="M101" s="7">
        <v>9</v>
      </c>
      <c r="N101" s="1" t="s">
        <v>35</v>
      </c>
      <c r="O101" s="3" t="s">
        <v>36</v>
      </c>
      <c r="P101" s="3" t="s">
        <v>14</v>
      </c>
      <c r="Q101" s="3">
        <v>1</v>
      </c>
      <c r="R101" s="43">
        <f>VLOOKUP('42'!O101,Malzemeler!C:D,2,0)</f>
        <v>130.16</v>
      </c>
      <c r="S101" s="43">
        <f t="shared" si="6"/>
        <v>130.16</v>
      </c>
    </row>
    <row r="102" spans="1:19" x14ac:dyDescent="0.35">
      <c r="A102" s="104"/>
      <c r="B102" s="1">
        <v>42</v>
      </c>
      <c r="C102" s="1" t="s">
        <v>698</v>
      </c>
      <c r="D102" s="1" t="s">
        <v>698</v>
      </c>
      <c r="E102" s="1" t="s">
        <v>698</v>
      </c>
      <c r="F102" s="1" t="s">
        <v>698</v>
      </c>
      <c r="G102" s="1" t="s">
        <v>698</v>
      </c>
      <c r="H102" s="1" t="s">
        <v>698</v>
      </c>
      <c r="I102" s="1" t="s">
        <v>698</v>
      </c>
      <c r="J102" s="1">
        <f t="shared" si="0"/>
        <v>1</v>
      </c>
      <c r="L102" s="1" t="s">
        <v>722</v>
      </c>
      <c r="M102" s="7">
        <v>10</v>
      </c>
      <c r="N102" s="5" t="s">
        <v>37</v>
      </c>
      <c r="O102" s="3" t="s">
        <v>38</v>
      </c>
      <c r="P102" s="3" t="s">
        <v>14</v>
      </c>
      <c r="Q102" s="3">
        <v>1</v>
      </c>
      <c r="R102" s="43">
        <f>VLOOKUP('42'!O102,Malzemeler!C:D,2,0)</f>
        <v>130.16</v>
      </c>
      <c r="S102" s="43">
        <f t="shared" si="6"/>
        <v>130.16</v>
      </c>
    </row>
    <row r="103" spans="1:19" x14ac:dyDescent="0.35">
      <c r="A103" s="104"/>
      <c r="B103" s="1">
        <v>42</v>
      </c>
      <c r="C103" s="1" t="s">
        <v>698</v>
      </c>
      <c r="D103" s="1" t="s">
        <v>698</v>
      </c>
      <c r="E103" s="1" t="s">
        <v>698</v>
      </c>
      <c r="F103" s="1" t="s">
        <v>698</v>
      </c>
      <c r="G103" s="1" t="s">
        <v>698</v>
      </c>
      <c r="H103" s="1" t="s">
        <v>698</v>
      </c>
      <c r="I103" s="1" t="s">
        <v>698</v>
      </c>
      <c r="J103" s="1">
        <f t="shared" si="0"/>
        <v>1</v>
      </c>
      <c r="L103" s="1" t="s">
        <v>722</v>
      </c>
      <c r="M103" s="7">
        <v>11</v>
      </c>
      <c r="N103" s="5" t="s">
        <v>39</v>
      </c>
      <c r="O103" s="3" t="s">
        <v>40</v>
      </c>
      <c r="P103" s="3" t="s">
        <v>14</v>
      </c>
      <c r="Q103" s="3">
        <v>2</v>
      </c>
      <c r="R103" s="43">
        <f>VLOOKUP('42'!O103,Malzemeler!C:D,2,0)</f>
        <v>4.7300000000000004</v>
      </c>
      <c r="S103" s="43">
        <f t="shared" si="6"/>
        <v>9.4600000000000009</v>
      </c>
    </row>
    <row r="104" spans="1:19" x14ac:dyDescent="0.35">
      <c r="A104" s="104"/>
      <c r="B104" s="1">
        <v>42</v>
      </c>
      <c r="C104" s="1" t="s">
        <v>698</v>
      </c>
      <c r="D104" s="1" t="s">
        <v>698</v>
      </c>
      <c r="E104" s="1" t="s">
        <v>698</v>
      </c>
      <c r="F104" s="1" t="s">
        <v>698</v>
      </c>
      <c r="G104" s="1" t="s">
        <v>698</v>
      </c>
      <c r="H104" s="1" t="s">
        <v>698</v>
      </c>
      <c r="I104" s="1" t="s">
        <v>698</v>
      </c>
      <c r="J104" s="1">
        <f t="shared" si="0"/>
        <v>1</v>
      </c>
      <c r="L104" s="1" t="s">
        <v>722</v>
      </c>
      <c r="M104" s="7">
        <v>12</v>
      </c>
      <c r="N104" s="5" t="s">
        <v>41</v>
      </c>
      <c r="O104" s="3" t="s">
        <v>42</v>
      </c>
      <c r="P104" s="3" t="s">
        <v>14</v>
      </c>
      <c r="Q104" s="3">
        <v>2</v>
      </c>
      <c r="R104" s="43">
        <f>VLOOKUP('42'!O104,Malzemeler!C:D,2,0)</f>
        <v>155.05000000000001</v>
      </c>
      <c r="S104" s="43">
        <f t="shared" si="6"/>
        <v>310.10000000000002</v>
      </c>
    </row>
    <row r="105" spans="1:19" x14ac:dyDescent="0.35">
      <c r="A105" s="104"/>
      <c r="B105" s="1">
        <v>42</v>
      </c>
      <c r="C105" s="1" t="s">
        <v>698</v>
      </c>
      <c r="D105" s="1" t="s">
        <v>698</v>
      </c>
      <c r="E105" s="1" t="s">
        <v>698</v>
      </c>
      <c r="F105" s="1" t="s">
        <v>698</v>
      </c>
      <c r="G105" s="1" t="s">
        <v>698</v>
      </c>
      <c r="H105" s="1" t="s">
        <v>698</v>
      </c>
      <c r="I105" s="1" t="s">
        <v>698</v>
      </c>
      <c r="J105" s="1">
        <f t="shared" si="0"/>
        <v>1</v>
      </c>
      <c r="L105" s="1" t="s">
        <v>722</v>
      </c>
      <c r="M105" s="7">
        <v>13</v>
      </c>
      <c r="N105" s="5" t="s">
        <v>43</v>
      </c>
      <c r="O105" s="3" t="s">
        <v>44</v>
      </c>
      <c r="P105" s="3" t="s">
        <v>14</v>
      </c>
      <c r="Q105" s="3">
        <v>1</v>
      </c>
      <c r="R105" s="43">
        <f>VLOOKUP('42'!O105,Malzemeler!C:D,2,0)</f>
        <v>238.61</v>
      </c>
      <c r="S105" s="43">
        <f t="shared" si="6"/>
        <v>238.61</v>
      </c>
    </row>
    <row r="106" spans="1:19" x14ac:dyDescent="0.35">
      <c r="A106" s="104"/>
      <c r="B106" s="1">
        <v>42</v>
      </c>
      <c r="C106" s="1" t="s">
        <v>698</v>
      </c>
      <c r="D106" s="1" t="s">
        <v>698</v>
      </c>
      <c r="E106" s="1" t="s">
        <v>698</v>
      </c>
      <c r="F106" s="1" t="s">
        <v>698</v>
      </c>
      <c r="G106" s="1" t="s">
        <v>698</v>
      </c>
      <c r="H106" s="1" t="s">
        <v>698</v>
      </c>
      <c r="I106" s="1" t="s">
        <v>698</v>
      </c>
      <c r="J106" s="1">
        <f t="shared" si="0"/>
        <v>1</v>
      </c>
      <c r="L106" s="1" t="s">
        <v>722</v>
      </c>
      <c r="M106" s="7">
        <v>14</v>
      </c>
      <c r="N106" s="5" t="s">
        <v>45</v>
      </c>
      <c r="O106" s="3" t="s">
        <v>46</v>
      </c>
      <c r="P106" s="3" t="s">
        <v>14</v>
      </c>
      <c r="Q106" s="3">
        <v>1</v>
      </c>
      <c r="R106" s="43">
        <f>VLOOKUP('42'!O106,Malzemeler!C:D,2,0)</f>
        <v>10.84</v>
      </c>
      <c r="S106" s="43">
        <f t="shared" si="6"/>
        <v>10.84</v>
      </c>
    </row>
    <row r="107" spans="1:19" x14ac:dyDescent="0.35">
      <c r="A107" s="104"/>
      <c r="B107" s="1">
        <v>42</v>
      </c>
      <c r="C107" s="1" t="s">
        <v>698</v>
      </c>
      <c r="D107" s="1" t="s">
        <v>698</v>
      </c>
      <c r="E107" s="1" t="s">
        <v>698</v>
      </c>
      <c r="F107" s="1" t="s">
        <v>698</v>
      </c>
      <c r="G107" s="1" t="s">
        <v>698</v>
      </c>
      <c r="H107" s="1" t="s">
        <v>698</v>
      </c>
      <c r="I107" s="1" t="s">
        <v>698</v>
      </c>
      <c r="J107" s="1">
        <f t="shared" si="0"/>
        <v>1</v>
      </c>
      <c r="L107" s="1" t="s">
        <v>722</v>
      </c>
      <c r="M107" s="7">
        <v>15</v>
      </c>
      <c r="N107" s="5" t="s">
        <v>47</v>
      </c>
      <c r="O107" s="3" t="s">
        <v>48</v>
      </c>
      <c r="P107" s="3" t="s">
        <v>14</v>
      </c>
      <c r="Q107" s="3">
        <v>1</v>
      </c>
      <c r="R107" s="43">
        <f>VLOOKUP('42'!O107,Malzemeler!C:D,2,0)</f>
        <v>22.83</v>
      </c>
      <c r="S107" s="43">
        <f t="shared" si="6"/>
        <v>22.83</v>
      </c>
    </row>
    <row r="108" spans="1:19" x14ac:dyDescent="0.35">
      <c r="A108" s="104"/>
      <c r="B108" s="1">
        <v>42</v>
      </c>
      <c r="C108" s="1" t="s">
        <v>698</v>
      </c>
      <c r="D108" s="1" t="s">
        <v>698</v>
      </c>
      <c r="E108" s="1" t="s">
        <v>698</v>
      </c>
      <c r="F108" s="1" t="s">
        <v>698</v>
      </c>
      <c r="G108" s="1" t="s">
        <v>698</v>
      </c>
      <c r="H108" s="1" t="s">
        <v>698</v>
      </c>
      <c r="I108" s="1" t="s">
        <v>698</v>
      </c>
      <c r="J108" s="1">
        <f t="shared" si="0"/>
        <v>1</v>
      </c>
      <c r="L108" s="1" t="s">
        <v>722</v>
      </c>
      <c r="M108" s="7">
        <v>16</v>
      </c>
      <c r="N108" s="5" t="s">
        <v>593</v>
      </c>
      <c r="O108" s="3" t="s">
        <v>592</v>
      </c>
      <c r="P108" s="3" t="s">
        <v>14</v>
      </c>
      <c r="Q108" s="3">
        <v>1</v>
      </c>
      <c r="R108" s="43">
        <f>VLOOKUP('42'!O108,Malzemeler!C:D,2,0)</f>
        <v>0</v>
      </c>
      <c r="S108" s="43">
        <f t="shared" si="6"/>
        <v>0</v>
      </c>
    </row>
    <row r="109" spans="1:19" x14ac:dyDescent="0.35">
      <c r="A109" s="104"/>
      <c r="B109" s="1">
        <v>42</v>
      </c>
      <c r="C109" s="1" t="s">
        <v>698</v>
      </c>
      <c r="D109" s="1" t="s">
        <v>698</v>
      </c>
      <c r="E109" s="1" t="s">
        <v>698</v>
      </c>
      <c r="F109" s="1" t="s">
        <v>698</v>
      </c>
      <c r="G109" s="1" t="s">
        <v>698</v>
      </c>
      <c r="H109" s="1" t="s">
        <v>698</v>
      </c>
      <c r="I109" s="1" t="s">
        <v>698</v>
      </c>
      <c r="J109" s="1">
        <f t="shared" si="0"/>
        <v>1</v>
      </c>
      <c r="L109" s="1" t="s">
        <v>722</v>
      </c>
      <c r="M109" s="7">
        <v>17</v>
      </c>
      <c r="N109" s="5" t="s">
        <v>594</v>
      </c>
      <c r="O109" s="3" t="s">
        <v>595</v>
      </c>
      <c r="P109" s="3" t="s">
        <v>14</v>
      </c>
      <c r="Q109" s="3">
        <v>1</v>
      </c>
      <c r="R109" s="43">
        <f>VLOOKUP('42'!O109,Malzemeler!C:D,2,0)</f>
        <v>0</v>
      </c>
      <c r="S109" s="43">
        <f t="shared" si="6"/>
        <v>0</v>
      </c>
    </row>
    <row r="110" spans="1:19" x14ac:dyDescent="0.35">
      <c r="A110" s="104"/>
      <c r="B110" s="1">
        <v>42</v>
      </c>
      <c r="C110" s="1" t="s">
        <v>698</v>
      </c>
      <c r="D110" s="1" t="s">
        <v>698</v>
      </c>
      <c r="E110" s="1" t="s">
        <v>698</v>
      </c>
      <c r="F110" s="1" t="s">
        <v>698</v>
      </c>
      <c r="G110" s="1" t="s">
        <v>698</v>
      </c>
      <c r="H110" s="1" t="s">
        <v>698</v>
      </c>
      <c r="I110" s="1" t="s">
        <v>698</v>
      </c>
      <c r="J110" s="1">
        <f t="shared" si="0"/>
        <v>1</v>
      </c>
      <c r="L110" s="1" t="s">
        <v>722</v>
      </c>
      <c r="M110" s="7">
        <v>18</v>
      </c>
      <c r="N110" s="5" t="s">
        <v>632</v>
      </c>
      <c r="O110" s="3" t="s">
        <v>650</v>
      </c>
      <c r="P110" s="3" t="s">
        <v>14</v>
      </c>
      <c r="Q110" s="3">
        <v>1</v>
      </c>
      <c r="R110" s="43">
        <f>VLOOKUP('42'!O110,Malzemeler!C:D,2,0)</f>
        <v>0</v>
      </c>
      <c r="S110" s="43">
        <f t="shared" si="6"/>
        <v>0</v>
      </c>
    </row>
    <row r="111" spans="1:19" x14ac:dyDescent="0.35">
      <c r="A111" s="104"/>
      <c r="B111" s="1">
        <v>42</v>
      </c>
      <c r="C111" s="1" t="s">
        <v>698</v>
      </c>
      <c r="D111" s="1" t="s">
        <v>698</v>
      </c>
      <c r="E111" s="1" t="s">
        <v>698</v>
      </c>
      <c r="F111" s="1" t="s">
        <v>698</v>
      </c>
      <c r="G111" s="1" t="s">
        <v>698</v>
      </c>
      <c r="H111" s="1" t="s">
        <v>698</v>
      </c>
      <c r="I111" s="1" t="s">
        <v>698</v>
      </c>
      <c r="J111" s="1">
        <f t="shared" si="0"/>
        <v>1</v>
      </c>
      <c r="L111" s="1" t="s">
        <v>722</v>
      </c>
      <c r="M111" s="7">
        <v>19</v>
      </c>
      <c r="N111" s="5" t="s">
        <v>598</v>
      </c>
      <c r="O111" s="3" t="s">
        <v>597</v>
      </c>
      <c r="P111" s="3" t="s">
        <v>14</v>
      </c>
      <c r="Q111" s="3">
        <v>1</v>
      </c>
      <c r="R111" s="43">
        <f>VLOOKUP('42'!O111,Malzemeler!C:D,2,0)</f>
        <v>0</v>
      </c>
      <c r="S111" s="43">
        <f t="shared" si="6"/>
        <v>0</v>
      </c>
    </row>
    <row r="112" spans="1:19" x14ac:dyDescent="0.35">
      <c r="A112" s="104"/>
      <c r="B112" s="1">
        <v>42</v>
      </c>
      <c r="C112" s="1" t="s">
        <v>698</v>
      </c>
      <c r="D112" s="1" t="s">
        <v>698</v>
      </c>
      <c r="E112" s="1" t="s">
        <v>698</v>
      </c>
      <c r="F112" s="1" t="s">
        <v>698</v>
      </c>
      <c r="G112" s="1" t="s">
        <v>698</v>
      </c>
      <c r="H112" s="1" t="s">
        <v>698</v>
      </c>
      <c r="I112" s="1" t="s">
        <v>698</v>
      </c>
      <c r="J112" s="1">
        <f t="shared" si="0"/>
        <v>1</v>
      </c>
      <c r="L112" s="1" t="s">
        <v>722</v>
      </c>
      <c r="M112" s="7">
        <v>20</v>
      </c>
      <c r="N112" s="5" t="s">
        <v>631</v>
      </c>
      <c r="O112" s="3" t="s">
        <v>630</v>
      </c>
      <c r="P112" s="3" t="s">
        <v>14</v>
      </c>
      <c r="Q112" s="3">
        <v>1</v>
      </c>
      <c r="R112" s="43">
        <f>VLOOKUP('42'!O112,Malzemeler!C:D,2,0)</f>
        <v>0</v>
      </c>
      <c r="S112" s="43">
        <f t="shared" si="6"/>
        <v>0</v>
      </c>
    </row>
    <row r="113" spans="1:20" x14ac:dyDescent="0.35">
      <c r="A113" s="104"/>
      <c r="B113" s="1">
        <v>42</v>
      </c>
      <c r="C113" s="1" t="s">
        <v>698</v>
      </c>
      <c r="D113" s="1" t="s">
        <v>698</v>
      </c>
      <c r="E113" s="1" t="s">
        <v>698</v>
      </c>
      <c r="F113" s="1" t="s">
        <v>698</v>
      </c>
      <c r="G113" s="1" t="s">
        <v>698</v>
      </c>
      <c r="H113" s="1" t="s">
        <v>698</v>
      </c>
      <c r="I113" s="1" t="s">
        <v>698</v>
      </c>
      <c r="J113" s="1">
        <f t="shared" si="0"/>
        <v>1</v>
      </c>
      <c r="L113" s="1" t="s">
        <v>722</v>
      </c>
      <c r="M113" s="7">
        <v>21</v>
      </c>
      <c r="N113" s="5" t="s">
        <v>678</v>
      </c>
      <c r="O113" s="3" t="s">
        <v>679</v>
      </c>
      <c r="P113" s="3" t="s">
        <v>14</v>
      </c>
      <c r="Q113" s="3">
        <v>1</v>
      </c>
      <c r="R113" s="43">
        <f>VLOOKUP('42'!O113,Malzemeler!C:D,2,0)</f>
        <v>0</v>
      </c>
      <c r="S113" s="43">
        <f t="shared" si="6"/>
        <v>0</v>
      </c>
    </row>
    <row r="114" spans="1:20" x14ac:dyDescent="0.35">
      <c r="A114" s="104"/>
      <c r="B114" s="1">
        <v>42</v>
      </c>
      <c r="C114" s="1" t="s">
        <v>698</v>
      </c>
      <c r="D114" s="1" t="s">
        <v>698</v>
      </c>
      <c r="E114" s="1" t="s">
        <v>698</v>
      </c>
      <c r="F114" s="1" t="s">
        <v>698</v>
      </c>
      <c r="G114" s="1" t="s">
        <v>698</v>
      </c>
      <c r="H114" s="1" t="s">
        <v>698</v>
      </c>
      <c r="I114" s="1" t="s">
        <v>698</v>
      </c>
      <c r="J114" s="1">
        <f t="shared" si="0"/>
        <v>1</v>
      </c>
      <c r="L114" s="1" t="s">
        <v>722</v>
      </c>
      <c r="M114" s="7">
        <v>22</v>
      </c>
      <c r="N114" s="5" t="s">
        <v>147</v>
      </c>
      <c r="O114" s="3" t="s">
        <v>263</v>
      </c>
      <c r="P114" s="3" t="s">
        <v>14</v>
      </c>
      <c r="Q114" s="3">
        <v>2</v>
      </c>
      <c r="R114" s="43">
        <f>VLOOKUP('42'!O114,Malzemeler!C:D,2,0)</f>
        <v>20</v>
      </c>
      <c r="S114" s="43">
        <f t="shared" si="6"/>
        <v>40</v>
      </c>
      <c r="T114" s="4"/>
    </row>
    <row r="115" spans="1:20" x14ac:dyDescent="0.35">
      <c r="A115" s="104"/>
      <c r="B115" s="1">
        <v>42</v>
      </c>
      <c r="C115" s="1" t="s">
        <v>698</v>
      </c>
      <c r="D115" s="1" t="s">
        <v>698</v>
      </c>
      <c r="E115" s="1" t="s">
        <v>698</v>
      </c>
      <c r="F115" s="1" t="s">
        <v>698</v>
      </c>
      <c r="G115" s="1" t="s">
        <v>698</v>
      </c>
      <c r="H115" s="1" t="s">
        <v>698</v>
      </c>
      <c r="I115" s="1" t="s">
        <v>698</v>
      </c>
      <c r="J115" s="1">
        <f t="shared" si="0"/>
        <v>1</v>
      </c>
      <c r="L115" s="1" t="s">
        <v>722</v>
      </c>
      <c r="M115" s="7">
        <v>23</v>
      </c>
      <c r="N115" s="5" t="s">
        <v>219</v>
      </c>
      <c r="O115" s="3" t="s">
        <v>220</v>
      </c>
      <c r="P115" s="3" t="s">
        <v>14</v>
      </c>
      <c r="Q115" s="3">
        <v>1</v>
      </c>
      <c r="R115" s="43">
        <f>VLOOKUP('42'!O115,Malzemeler!C:D,2,0)</f>
        <v>85.4</v>
      </c>
      <c r="S115" s="43">
        <f t="shared" si="6"/>
        <v>85.4</v>
      </c>
      <c r="T115" s="8"/>
    </row>
    <row r="116" spans="1:20" x14ac:dyDescent="0.35">
      <c r="A116" s="104"/>
      <c r="B116" s="1">
        <v>42</v>
      </c>
      <c r="C116" s="1" t="s">
        <v>698</v>
      </c>
      <c r="D116" s="1" t="s">
        <v>698</v>
      </c>
      <c r="E116" s="1" t="s">
        <v>698</v>
      </c>
      <c r="F116" s="1" t="s">
        <v>698</v>
      </c>
      <c r="G116" s="1" t="s">
        <v>698</v>
      </c>
      <c r="H116" s="1" t="s">
        <v>698</v>
      </c>
      <c r="I116" s="1" t="s">
        <v>698</v>
      </c>
      <c r="J116" s="1">
        <f t="shared" si="0"/>
        <v>1</v>
      </c>
      <c r="L116" s="1" t="s">
        <v>722</v>
      </c>
      <c r="M116" s="7">
        <v>24</v>
      </c>
      <c r="N116" s="5" t="s">
        <v>584</v>
      </c>
      <c r="O116" s="3" t="s">
        <v>585</v>
      </c>
      <c r="P116" s="3" t="s">
        <v>14</v>
      </c>
      <c r="Q116" s="3">
        <v>1</v>
      </c>
      <c r="R116" s="43">
        <f>VLOOKUP('42'!O116,Malzemeler!C:D,2,0)</f>
        <v>72.290000000000006</v>
      </c>
      <c r="S116" s="43">
        <f t="shared" si="6"/>
        <v>72.290000000000006</v>
      </c>
      <c r="T116" s="8"/>
    </row>
    <row r="117" spans="1:20" x14ac:dyDescent="0.35">
      <c r="A117" s="104"/>
      <c r="B117" s="1">
        <v>42</v>
      </c>
      <c r="C117" s="1" t="s">
        <v>698</v>
      </c>
      <c r="D117" s="1" t="s">
        <v>698</v>
      </c>
      <c r="E117" s="1" t="s">
        <v>698</v>
      </c>
      <c r="F117" s="1" t="s">
        <v>698</v>
      </c>
      <c r="G117" s="1" t="s">
        <v>698</v>
      </c>
      <c r="H117" s="1" t="s">
        <v>698</v>
      </c>
      <c r="I117" s="1" t="s">
        <v>698</v>
      </c>
      <c r="J117" s="1">
        <f t="shared" si="0"/>
        <v>1</v>
      </c>
      <c r="L117" s="1" t="s">
        <v>722</v>
      </c>
      <c r="M117" s="7">
        <v>25</v>
      </c>
      <c r="N117" s="5" t="s">
        <v>589</v>
      </c>
      <c r="O117" s="3" t="s">
        <v>596</v>
      </c>
      <c r="P117" s="3" t="s">
        <v>14</v>
      </c>
      <c r="Q117" s="3">
        <v>2</v>
      </c>
      <c r="R117" s="43">
        <f>VLOOKUP('42'!O117,Malzemeler!C:D,2,0)</f>
        <v>59.21</v>
      </c>
      <c r="S117" s="43">
        <f t="shared" si="6"/>
        <v>118.42</v>
      </c>
      <c r="T117" s="3"/>
    </row>
    <row r="118" spans="1:20" x14ac:dyDescent="0.35">
      <c r="A118" s="104"/>
      <c r="B118" s="1">
        <v>42</v>
      </c>
      <c r="C118" s="1" t="s">
        <v>698</v>
      </c>
      <c r="D118" s="1" t="s">
        <v>698</v>
      </c>
      <c r="E118" s="1" t="s">
        <v>698</v>
      </c>
      <c r="F118" s="1" t="s">
        <v>698</v>
      </c>
      <c r="G118" s="1" t="s">
        <v>698</v>
      </c>
      <c r="H118" s="1" t="s">
        <v>698</v>
      </c>
      <c r="I118" s="1" t="s">
        <v>698</v>
      </c>
      <c r="J118" s="1">
        <f t="shared" si="0"/>
        <v>1</v>
      </c>
      <c r="L118" s="1" t="s">
        <v>722</v>
      </c>
      <c r="M118" s="7">
        <v>26</v>
      </c>
      <c r="N118" s="5" t="s">
        <v>53</v>
      </c>
      <c r="O118" s="3" t="s">
        <v>56</v>
      </c>
      <c r="P118" s="3" t="s">
        <v>14</v>
      </c>
      <c r="Q118" s="3">
        <v>1</v>
      </c>
      <c r="R118" s="43">
        <f>VLOOKUP('42'!O118,Malzemeler!C:D,2,0)</f>
        <v>65.58</v>
      </c>
      <c r="S118" s="43">
        <f t="shared" si="6"/>
        <v>65.58</v>
      </c>
    </row>
    <row r="119" spans="1:20" x14ac:dyDescent="0.35">
      <c r="A119" s="104"/>
      <c r="B119" s="1">
        <v>42</v>
      </c>
      <c r="C119" s="1" t="s">
        <v>698</v>
      </c>
      <c r="D119" s="1" t="s">
        <v>698</v>
      </c>
      <c r="E119" s="1" t="s">
        <v>698</v>
      </c>
      <c r="F119" s="1" t="s">
        <v>698</v>
      </c>
      <c r="G119" s="1" t="s">
        <v>698</v>
      </c>
      <c r="H119" s="1" t="s">
        <v>698</v>
      </c>
      <c r="I119" s="1" t="s">
        <v>698</v>
      </c>
      <c r="J119" s="1">
        <f t="shared" si="0"/>
        <v>1</v>
      </c>
      <c r="L119" s="1" t="s">
        <v>722</v>
      </c>
      <c r="M119" s="7">
        <v>27</v>
      </c>
      <c r="N119" s="5" t="s">
        <v>54</v>
      </c>
      <c r="O119" s="3" t="s">
        <v>57</v>
      </c>
      <c r="P119" s="3" t="s">
        <v>14</v>
      </c>
      <c r="Q119" s="3">
        <v>1</v>
      </c>
      <c r="R119" s="43">
        <f>VLOOKUP('42'!O119,Malzemeler!C:D,2,0)</f>
        <v>77.55</v>
      </c>
      <c r="S119" s="43">
        <f t="shared" si="6"/>
        <v>77.55</v>
      </c>
    </row>
    <row r="120" spans="1:20" x14ac:dyDescent="0.35">
      <c r="A120" s="104"/>
      <c r="B120" s="1">
        <v>42</v>
      </c>
      <c r="C120" s="1" t="s">
        <v>698</v>
      </c>
      <c r="D120" s="1" t="s">
        <v>698</v>
      </c>
      <c r="E120" s="1" t="s">
        <v>698</v>
      </c>
      <c r="F120" s="1" t="s">
        <v>698</v>
      </c>
      <c r="G120" s="1" t="s">
        <v>698</v>
      </c>
      <c r="H120" s="1" t="s">
        <v>698</v>
      </c>
      <c r="I120" s="1" t="s">
        <v>698</v>
      </c>
      <c r="J120" s="1">
        <f t="shared" si="0"/>
        <v>1</v>
      </c>
      <c r="L120" s="1" t="s">
        <v>722</v>
      </c>
      <c r="M120" s="7">
        <v>28</v>
      </c>
      <c r="N120" s="5" t="s">
        <v>301</v>
      </c>
      <c r="O120" s="3" t="s">
        <v>302</v>
      </c>
      <c r="P120" s="3" t="s">
        <v>14</v>
      </c>
      <c r="Q120" s="3">
        <v>1</v>
      </c>
      <c r="R120" s="43">
        <f>VLOOKUP('42'!O120,Malzemeler!C:D,2,0)</f>
        <v>75.899999999999991</v>
      </c>
      <c r="S120" s="43">
        <f t="shared" si="6"/>
        <v>75.899999999999991</v>
      </c>
    </row>
    <row r="121" spans="1:20" x14ac:dyDescent="0.35">
      <c r="A121" s="104"/>
      <c r="B121" s="1">
        <v>42</v>
      </c>
      <c r="C121" s="1" t="s">
        <v>698</v>
      </c>
      <c r="D121" s="1" t="s">
        <v>698</v>
      </c>
      <c r="E121" s="1" t="s">
        <v>698</v>
      </c>
      <c r="F121" s="1" t="s">
        <v>698</v>
      </c>
      <c r="G121" s="1" t="s">
        <v>698</v>
      </c>
      <c r="H121" s="1" t="s">
        <v>698</v>
      </c>
      <c r="I121" s="1" t="s">
        <v>698</v>
      </c>
      <c r="J121" s="1">
        <f t="shared" ref="J121:J133" si="7">SUBTOTAL(103,B121)</f>
        <v>1</v>
      </c>
      <c r="L121" s="1" t="s">
        <v>722</v>
      </c>
      <c r="M121" s="7">
        <v>29</v>
      </c>
      <c r="N121" s="5" t="s">
        <v>685</v>
      </c>
      <c r="O121" s="3" t="s">
        <v>694</v>
      </c>
      <c r="P121" s="3" t="s">
        <v>14</v>
      </c>
      <c r="Q121" s="13">
        <v>1</v>
      </c>
      <c r="R121" s="43">
        <f>VLOOKUP('42'!O121,Malzemeler!C:D,2,0)</f>
        <v>0</v>
      </c>
      <c r="S121" s="43">
        <f t="shared" si="6"/>
        <v>0</v>
      </c>
    </row>
    <row r="122" spans="1:20" x14ac:dyDescent="0.35">
      <c r="A122" s="104"/>
      <c r="B122" s="1">
        <v>42</v>
      </c>
      <c r="C122" s="1" t="s">
        <v>698</v>
      </c>
      <c r="D122" s="1" t="s">
        <v>698</v>
      </c>
      <c r="E122" s="1" t="s">
        <v>698</v>
      </c>
      <c r="F122" s="1" t="s">
        <v>698</v>
      </c>
      <c r="G122" s="1" t="s">
        <v>698</v>
      </c>
      <c r="H122" s="1" t="s">
        <v>698</v>
      </c>
      <c r="I122" s="1" t="s">
        <v>698</v>
      </c>
      <c r="J122" s="1">
        <f t="shared" si="7"/>
        <v>1</v>
      </c>
      <c r="L122" s="1" t="s">
        <v>722</v>
      </c>
      <c r="M122" s="7">
        <v>30</v>
      </c>
      <c r="N122" s="1" t="s">
        <v>626</v>
      </c>
      <c r="O122" s="3" t="s">
        <v>627</v>
      </c>
      <c r="P122" s="3" t="s">
        <v>14</v>
      </c>
      <c r="Q122" s="3">
        <v>1</v>
      </c>
      <c r="R122" s="43">
        <f>VLOOKUP('42'!O122,Malzemeler!C:D,2,0)</f>
        <v>0</v>
      </c>
      <c r="S122" s="43">
        <f t="shared" si="6"/>
        <v>0</v>
      </c>
    </row>
    <row r="123" spans="1:20" x14ac:dyDescent="0.35">
      <c r="A123" s="104"/>
      <c r="B123" s="1">
        <v>42</v>
      </c>
      <c r="C123" s="1" t="s">
        <v>698</v>
      </c>
      <c r="D123" s="1" t="s">
        <v>698</v>
      </c>
      <c r="E123" s="1" t="s">
        <v>698</v>
      </c>
      <c r="F123" s="1" t="s">
        <v>698</v>
      </c>
      <c r="G123" s="1" t="s">
        <v>698</v>
      </c>
      <c r="H123" s="1" t="s">
        <v>698</v>
      </c>
      <c r="I123" s="1" t="s">
        <v>698</v>
      </c>
      <c r="J123" s="1">
        <f t="shared" si="7"/>
        <v>1</v>
      </c>
      <c r="L123" s="1" t="s">
        <v>722</v>
      </c>
      <c r="M123" s="7">
        <v>31</v>
      </c>
      <c r="N123" s="1" t="s">
        <v>730</v>
      </c>
      <c r="O123" s="3" t="s">
        <v>729</v>
      </c>
      <c r="P123" s="3" t="s">
        <v>14</v>
      </c>
      <c r="Q123" s="3">
        <v>39</v>
      </c>
      <c r="R123" s="43">
        <f>VLOOKUP('42'!O123,Malzemeler!C:D,2,0)</f>
        <v>0</v>
      </c>
      <c r="S123" s="43">
        <f t="shared" si="6"/>
        <v>0</v>
      </c>
    </row>
    <row r="124" spans="1:20" x14ac:dyDescent="0.35">
      <c r="A124" s="42"/>
      <c r="B124" s="1">
        <v>42</v>
      </c>
      <c r="C124" s="1" t="s">
        <v>698</v>
      </c>
      <c r="D124" s="1" t="s">
        <v>698</v>
      </c>
      <c r="E124" s="1" t="s">
        <v>698</v>
      </c>
      <c r="F124" s="1" t="s">
        <v>698</v>
      </c>
      <c r="G124" s="1" t="s">
        <v>698</v>
      </c>
      <c r="H124" s="1" t="s">
        <v>698</v>
      </c>
      <c r="I124" s="1" t="s">
        <v>698</v>
      </c>
      <c r="J124" s="1">
        <f t="shared" ref="J124:J127" si="8">SUBTOTAL(103,B124)</f>
        <v>1</v>
      </c>
      <c r="L124" s="1" t="s">
        <v>722</v>
      </c>
      <c r="M124" s="7">
        <v>32</v>
      </c>
      <c r="N124" s="1" t="s">
        <v>750</v>
      </c>
      <c r="O124" s="3" t="s">
        <v>753</v>
      </c>
      <c r="P124" s="3" t="s">
        <v>135</v>
      </c>
      <c r="Q124" s="3">
        <v>22</v>
      </c>
      <c r="R124" s="43">
        <f>VLOOKUP('42'!O124,Malzemeler!C:D,2,0)</f>
        <v>0</v>
      </c>
      <c r="S124" s="43">
        <f t="shared" ref="S124:S127" si="9">+R124*Q124</f>
        <v>0</v>
      </c>
    </row>
    <row r="125" spans="1:20" x14ac:dyDescent="0.35">
      <c r="A125" s="42"/>
      <c r="B125" s="1">
        <v>42</v>
      </c>
      <c r="C125" s="1" t="s">
        <v>698</v>
      </c>
      <c r="D125" s="1" t="s">
        <v>698</v>
      </c>
      <c r="E125" s="1" t="s">
        <v>698</v>
      </c>
      <c r="F125" s="1" t="s">
        <v>698</v>
      </c>
      <c r="G125" s="1" t="s">
        <v>698</v>
      </c>
      <c r="H125" s="1" t="s">
        <v>698</v>
      </c>
      <c r="I125" s="1" t="s">
        <v>698</v>
      </c>
      <c r="J125" s="1">
        <f t="shared" si="8"/>
        <v>1</v>
      </c>
      <c r="L125" s="1" t="s">
        <v>722</v>
      </c>
      <c r="M125" s="7">
        <v>33</v>
      </c>
      <c r="N125" s="1" t="s">
        <v>756</v>
      </c>
      <c r="O125" s="3" t="s">
        <v>757</v>
      </c>
      <c r="P125" s="3" t="s">
        <v>135</v>
      </c>
      <c r="Q125" s="3">
        <v>8</v>
      </c>
      <c r="R125" s="43">
        <f>VLOOKUP('42'!O125,Malzemeler!C:D,2,0)</f>
        <v>0</v>
      </c>
      <c r="S125" s="43">
        <f t="shared" si="9"/>
        <v>0</v>
      </c>
    </row>
    <row r="126" spans="1:20" x14ac:dyDescent="0.35">
      <c r="A126" s="42"/>
      <c r="B126" s="1">
        <v>42</v>
      </c>
      <c r="C126" s="1" t="s">
        <v>698</v>
      </c>
      <c r="D126" s="1" t="s">
        <v>698</v>
      </c>
      <c r="E126" s="1" t="s">
        <v>698</v>
      </c>
      <c r="F126" s="1" t="s">
        <v>698</v>
      </c>
      <c r="G126" s="1" t="s">
        <v>698</v>
      </c>
      <c r="H126" s="1" t="s">
        <v>698</v>
      </c>
      <c r="I126" s="1" t="s">
        <v>698</v>
      </c>
      <c r="J126" s="1">
        <f t="shared" ref="J126" si="10">SUBTOTAL(103,B126)</f>
        <v>1</v>
      </c>
      <c r="L126" s="1" t="s">
        <v>722</v>
      </c>
      <c r="M126" s="7">
        <v>34</v>
      </c>
      <c r="N126" s="1" t="s">
        <v>751</v>
      </c>
      <c r="O126" s="3" t="s">
        <v>754</v>
      </c>
      <c r="P126" s="3" t="s">
        <v>135</v>
      </c>
      <c r="Q126" s="3">
        <v>130</v>
      </c>
      <c r="R126" s="43">
        <f>VLOOKUP('42'!O126,Malzemeler!C:D,2,0)</f>
        <v>0</v>
      </c>
      <c r="S126" s="43">
        <f t="shared" si="9"/>
        <v>0</v>
      </c>
    </row>
    <row r="127" spans="1:20" x14ac:dyDescent="0.35">
      <c r="A127" s="42"/>
      <c r="B127" s="1">
        <v>42</v>
      </c>
      <c r="C127" s="1" t="s">
        <v>698</v>
      </c>
      <c r="D127" s="1" t="s">
        <v>698</v>
      </c>
      <c r="E127" s="1" t="s">
        <v>698</v>
      </c>
      <c r="F127" s="1" t="s">
        <v>698</v>
      </c>
      <c r="G127" s="1" t="s">
        <v>698</v>
      </c>
      <c r="H127" s="1" t="s">
        <v>698</v>
      </c>
      <c r="I127" s="1" t="s">
        <v>698</v>
      </c>
      <c r="J127" s="1">
        <f t="shared" si="8"/>
        <v>1</v>
      </c>
      <c r="L127" s="1" t="s">
        <v>722</v>
      </c>
      <c r="M127" s="7">
        <v>35</v>
      </c>
      <c r="N127" s="1" t="s">
        <v>752</v>
      </c>
      <c r="O127" s="3" t="s">
        <v>755</v>
      </c>
      <c r="P127" s="3" t="s">
        <v>135</v>
      </c>
      <c r="Q127" s="3">
        <v>35</v>
      </c>
      <c r="R127" s="43">
        <f>VLOOKUP('42'!O127,Malzemeler!C:D,2,0)</f>
        <v>0</v>
      </c>
      <c r="S127" s="43">
        <f t="shared" si="9"/>
        <v>0</v>
      </c>
    </row>
    <row r="128" spans="1:20" x14ac:dyDescent="0.35">
      <c r="A128" s="104" t="s">
        <v>719</v>
      </c>
      <c r="B128" s="1">
        <v>42</v>
      </c>
      <c r="C128" s="1" t="s">
        <v>698</v>
      </c>
      <c r="D128" s="1">
        <v>47</v>
      </c>
      <c r="E128" s="1" t="s">
        <v>698</v>
      </c>
      <c r="F128" s="1" t="s">
        <v>698</v>
      </c>
      <c r="G128" s="1" t="s">
        <v>698</v>
      </c>
      <c r="H128" s="1" t="s">
        <v>698</v>
      </c>
      <c r="I128" s="1" t="s">
        <v>698</v>
      </c>
      <c r="J128" s="1">
        <f t="shared" si="7"/>
        <v>1</v>
      </c>
      <c r="L128" s="1" t="s">
        <v>719</v>
      </c>
      <c r="M128" s="7">
        <v>1</v>
      </c>
      <c r="N128" s="1" t="s">
        <v>211</v>
      </c>
      <c r="O128" s="3" t="s">
        <v>212</v>
      </c>
      <c r="P128" s="3" t="s">
        <v>14</v>
      </c>
      <c r="Q128" s="3">
        <v>3</v>
      </c>
      <c r="R128" s="43">
        <f>VLOOKUP('42'!O128,Malzemeler!C:D,2,0)</f>
        <v>4.43</v>
      </c>
      <c r="S128" s="43">
        <f t="shared" si="6"/>
        <v>13.29</v>
      </c>
    </row>
    <row r="129" spans="1:19" x14ac:dyDescent="0.35">
      <c r="A129" s="104"/>
      <c r="B129" s="1">
        <v>42</v>
      </c>
      <c r="C129" s="1" t="s">
        <v>698</v>
      </c>
      <c r="D129" s="1">
        <v>47</v>
      </c>
      <c r="E129" s="1">
        <v>5</v>
      </c>
      <c r="F129" s="1" t="s">
        <v>698</v>
      </c>
      <c r="G129" s="1" t="s">
        <v>698</v>
      </c>
      <c r="H129" s="1" t="s">
        <v>698</v>
      </c>
      <c r="I129" s="1" t="s">
        <v>698</v>
      </c>
      <c r="J129" s="1">
        <f t="shared" si="7"/>
        <v>1</v>
      </c>
      <c r="L129" s="1" t="s">
        <v>719</v>
      </c>
      <c r="M129" s="7">
        <v>2</v>
      </c>
      <c r="N129" s="5" t="s">
        <v>213</v>
      </c>
      <c r="O129" s="3" t="s">
        <v>214</v>
      </c>
      <c r="P129" s="3" t="s">
        <v>14</v>
      </c>
      <c r="Q129" s="3">
        <v>3</v>
      </c>
      <c r="R129" s="43">
        <f>VLOOKUP('42'!O129,Malzemeler!C:D,2,0)</f>
        <v>3.04</v>
      </c>
      <c r="S129" s="43">
        <f t="shared" si="6"/>
        <v>9.120000000000001</v>
      </c>
    </row>
    <row r="130" spans="1:19" x14ac:dyDescent="0.35">
      <c r="A130" s="104"/>
      <c r="B130" s="1">
        <v>42</v>
      </c>
      <c r="C130" s="1" t="s">
        <v>698</v>
      </c>
      <c r="D130" s="1">
        <v>47</v>
      </c>
      <c r="E130" s="1">
        <v>5</v>
      </c>
      <c r="F130" s="1" t="s">
        <v>698</v>
      </c>
      <c r="G130" s="1" t="s">
        <v>698</v>
      </c>
      <c r="H130" s="1" t="s">
        <v>698</v>
      </c>
      <c r="I130" s="1" t="s">
        <v>698</v>
      </c>
      <c r="J130" s="1">
        <f t="shared" si="7"/>
        <v>1</v>
      </c>
      <c r="L130" s="1" t="s">
        <v>719</v>
      </c>
      <c r="M130" s="7">
        <v>3</v>
      </c>
      <c r="N130" s="5" t="s">
        <v>463</v>
      </c>
      <c r="O130" s="3" t="s">
        <v>464</v>
      </c>
      <c r="P130" s="3" t="s">
        <v>14</v>
      </c>
      <c r="Q130" s="3">
        <v>3</v>
      </c>
      <c r="R130" s="43">
        <f>VLOOKUP('42'!O130,Malzemeler!C:D,2,0)</f>
        <v>7.15</v>
      </c>
      <c r="S130" s="43">
        <f t="shared" si="6"/>
        <v>21.450000000000003</v>
      </c>
    </row>
    <row r="131" spans="1:19" x14ac:dyDescent="0.35">
      <c r="A131" s="104"/>
      <c r="B131" s="1">
        <v>42</v>
      </c>
      <c r="C131" s="1" t="s">
        <v>698</v>
      </c>
      <c r="D131" s="1">
        <v>47</v>
      </c>
      <c r="E131" s="1">
        <v>5</v>
      </c>
      <c r="F131" s="1" t="s">
        <v>698</v>
      </c>
      <c r="G131" s="1" t="s">
        <v>698</v>
      </c>
      <c r="H131" s="1" t="s">
        <v>698</v>
      </c>
      <c r="I131" s="1" t="s">
        <v>698</v>
      </c>
      <c r="J131" s="1">
        <f t="shared" si="7"/>
        <v>1</v>
      </c>
      <c r="L131" s="1" t="s">
        <v>719</v>
      </c>
      <c r="M131" s="7">
        <v>4</v>
      </c>
      <c r="N131" s="5" t="s">
        <v>465</v>
      </c>
      <c r="O131" s="3" t="s">
        <v>466</v>
      </c>
      <c r="P131" s="3" t="s">
        <v>14</v>
      </c>
      <c r="Q131" s="3">
        <v>3</v>
      </c>
      <c r="R131" s="43">
        <f>VLOOKUP('42'!O131,Malzemeler!C:D,2,0)</f>
        <v>4.37</v>
      </c>
      <c r="S131" s="43">
        <f t="shared" si="6"/>
        <v>13.11</v>
      </c>
    </row>
    <row r="132" spans="1:19" x14ac:dyDescent="0.35">
      <c r="A132" s="104"/>
      <c r="B132" s="1">
        <v>42</v>
      </c>
      <c r="C132" s="1" t="s">
        <v>698</v>
      </c>
      <c r="D132" s="1">
        <v>47</v>
      </c>
      <c r="E132" s="1">
        <v>5</v>
      </c>
      <c r="F132" s="1" t="s">
        <v>698</v>
      </c>
      <c r="G132" s="1" t="s">
        <v>698</v>
      </c>
      <c r="H132" s="1" t="s">
        <v>698</v>
      </c>
      <c r="I132" s="1" t="s">
        <v>698</v>
      </c>
      <c r="J132" s="1">
        <f t="shared" si="7"/>
        <v>1</v>
      </c>
      <c r="L132" s="1" t="s">
        <v>719</v>
      </c>
      <c r="M132" s="7">
        <v>5</v>
      </c>
      <c r="N132" s="5" t="s">
        <v>459</v>
      </c>
      <c r="O132" s="3" t="s">
        <v>460</v>
      </c>
      <c r="P132" s="3" t="s">
        <v>14</v>
      </c>
      <c r="Q132" s="3">
        <v>3</v>
      </c>
      <c r="R132" s="43">
        <f>VLOOKUP('42'!O132,Malzemeler!C:D,2,0)</f>
        <v>4.55</v>
      </c>
      <c r="S132" s="43">
        <f t="shared" si="6"/>
        <v>13.649999999999999</v>
      </c>
    </row>
    <row r="133" spans="1:19" x14ac:dyDescent="0.35">
      <c r="A133" s="104"/>
      <c r="B133" s="1">
        <v>42</v>
      </c>
      <c r="C133" s="1" t="s">
        <v>698</v>
      </c>
      <c r="D133" s="1">
        <v>47</v>
      </c>
      <c r="E133" s="1">
        <v>5</v>
      </c>
      <c r="F133" s="1" t="s">
        <v>698</v>
      </c>
      <c r="G133" s="1" t="s">
        <v>698</v>
      </c>
      <c r="H133" s="1" t="s">
        <v>698</v>
      </c>
      <c r="I133" s="1" t="s">
        <v>698</v>
      </c>
      <c r="J133" s="1">
        <f t="shared" si="7"/>
        <v>1</v>
      </c>
      <c r="L133" s="1" t="s">
        <v>719</v>
      </c>
      <c r="M133" s="7">
        <v>6</v>
      </c>
      <c r="N133" s="5" t="s">
        <v>461</v>
      </c>
      <c r="O133" s="3" t="s">
        <v>462</v>
      </c>
      <c r="P133" s="3" t="s">
        <v>14</v>
      </c>
      <c r="Q133" s="3">
        <v>3</v>
      </c>
      <c r="R133" s="43">
        <f>VLOOKUP('42'!O133,Malzemeler!C:D,2,0)</f>
        <v>2.96</v>
      </c>
      <c r="S133" s="43">
        <f t="shared" si="6"/>
        <v>8.879999999999999</v>
      </c>
    </row>
    <row r="134" spans="1:19" x14ac:dyDescent="0.35">
      <c r="A134" s="104"/>
      <c r="B134" s="1">
        <v>42</v>
      </c>
      <c r="C134" s="1" t="s">
        <v>698</v>
      </c>
      <c r="D134" s="1">
        <v>49</v>
      </c>
      <c r="E134" s="1">
        <v>5</v>
      </c>
      <c r="F134" s="1" t="s">
        <v>698</v>
      </c>
      <c r="G134" s="1" t="s">
        <v>698</v>
      </c>
      <c r="H134" s="1" t="s">
        <v>698</v>
      </c>
      <c r="I134" s="1" t="s">
        <v>698</v>
      </c>
      <c r="J134" s="1">
        <f t="shared" ref="J134:J141" si="11">SUBTOTAL(103,B134)</f>
        <v>1</v>
      </c>
      <c r="L134" s="1" t="s">
        <v>719</v>
      </c>
      <c r="M134" s="7">
        <v>1</v>
      </c>
      <c r="N134" s="5" t="s">
        <v>211</v>
      </c>
      <c r="O134" s="3" t="s">
        <v>212</v>
      </c>
      <c r="P134" s="3" t="s">
        <v>14</v>
      </c>
      <c r="Q134" s="3">
        <v>3</v>
      </c>
      <c r="R134" s="43">
        <f>VLOOKUP('42'!O134,Malzemeler!C:D,2,0)</f>
        <v>4.43</v>
      </c>
      <c r="S134" s="43">
        <f t="shared" ref="S134:S164" si="12">+R134*Q134</f>
        <v>13.29</v>
      </c>
    </row>
    <row r="135" spans="1:19" x14ac:dyDescent="0.35">
      <c r="A135" s="104"/>
      <c r="B135" s="1">
        <v>42</v>
      </c>
      <c r="C135" s="1" t="s">
        <v>698</v>
      </c>
      <c r="D135" s="1">
        <v>49</v>
      </c>
      <c r="E135" s="1">
        <v>5</v>
      </c>
      <c r="F135" s="1" t="s">
        <v>698</v>
      </c>
      <c r="G135" s="1" t="s">
        <v>698</v>
      </c>
      <c r="H135" s="1" t="s">
        <v>698</v>
      </c>
      <c r="I135" s="1" t="s">
        <v>698</v>
      </c>
      <c r="J135" s="1">
        <f t="shared" si="11"/>
        <v>1</v>
      </c>
      <c r="L135" s="1" t="s">
        <v>719</v>
      </c>
      <c r="M135" s="7">
        <v>2</v>
      </c>
      <c r="N135" s="5" t="s">
        <v>213</v>
      </c>
      <c r="O135" s="3" t="s">
        <v>214</v>
      </c>
      <c r="P135" s="3" t="s">
        <v>14</v>
      </c>
      <c r="Q135" s="3">
        <v>3</v>
      </c>
      <c r="R135" s="43">
        <f>VLOOKUP('42'!O135,Malzemeler!C:D,2,0)</f>
        <v>3.04</v>
      </c>
      <c r="S135" s="43">
        <f t="shared" si="12"/>
        <v>9.120000000000001</v>
      </c>
    </row>
    <row r="136" spans="1:19" x14ac:dyDescent="0.35">
      <c r="A136" s="104"/>
      <c r="B136" s="1">
        <v>42</v>
      </c>
      <c r="C136" s="1" t="s">
        <v>698</v>
      </c>
      <c r="D136" s="1">
        <v>49</v>
      </c>
      <c r="E136" s="1">
        <v>5</v>
      </c>
      <c r="F136" s="1" t="s">
        <v>698</v>
      </c>
      <c r="G136" s="1" t="s">
        <v>698</v>
      </c>
      <c r="H136" s="1" t="s">
        <v>698</v>
      </c>
      <c r="I136" s="1" t="s">
        <v>698</v>
      </c>
      <c r="J136" s="1">
        <f t="shared" si="11"/>
        <v>1</v>
      </c>
      <c r="L136" s="1" t="s">
        <v>719</v>
      </c>
      <c r="M136" s="7">
        <v>3</v>
      </c>
      <c r="N136" s="5" t="s">
        <v>575</v>
      </c>
      <c r="O136" s="3" t="s">
        <v>577</v>
      </c>
      <c r="P136" s="3" t="s">
        <v>14</v>
      </c>
      <c r="Q136" s="3">
        <v>3</v>
      </c>
      <c r="R136" s="43">
        <f>VLOOKUP('42'!O136,Malzemeler!C:D,2,0)</f>
        <v>6.91</v>
      </c>
      <c r="S136" s="43">
        <f t="shared" si="12"/>
        <v>20.73</v>
      </c>
    </row>
    <row r="137" spans="1:19" x14ac:dyDescent="0.35">
      <c r="A137" s="104"/>
      <c r="B137" s="1">
        <v>42</v>
      </c>
      <c r="C137" s="1" t="s">
        <v>698</v>
      </c>
      <c r="D137" s="1">
        <v>49</v>
      </c>
      <c r="E137" s="1">
        <v>5</v>
      </c>
      <c r="F137" s="1" t="s">
        <v>698</v>
      </c>
      <c r="G137" s="1" t="s">
        <v>698</v>
      </c>
      <c r="H137" s="1" t="s">
        <v>698</v>
      </c>
      <c r="I137" s="1" t="s">
        <v>698</v>
      </c>
      <c r="J137" s="1">
        <f t="shared" si="11"/>
        <v>1</v>
      </c>
      <c r="L137" s="1" t="s">
        <v>719</v>
      </c>
      <c r="M137" s="7">
        <v>4</v>
      </c>
      <c r="N137" s="5" t="s">
        <v>576</v>
      </c>
      <c r="O137" s="3" t="s">
        <v>578</v>
      </c>
      <c r="P137" s="3" t="s">
        <v>14</v>
      </c>
      <c r="Q137" s="3">
        <v>3</v>
      </c>
      <c r="R137" s="43">
        <f>VLOOKUP('42'!O137,Malzemeler!C:D,2,0)</f>
        <v>4.47</v>
      </c>
      <c r="S137" s="43">
        <f t="shared" si="12"/>
        <v>13.41</v>
      </c>
    </row>
    <row r="138" spans="1:19" x14ac:dyDescent="0.35">
      <c r="A138" s="104"/>
      <c r="B138" s="1">
        <v>42</v>
      </c>
      <c r="C138" s="1" t="s">
        <v>698</v>
      </c>
      <c r="D138" s="1">
        <v>49</v>
      </c>
      <c r="E138" s="1">
        <v>5</v>
      </c>
      <c r="F138" s="1" t="s">
        <v>698</v>
      </c>
      <c r="G138" s="1" t="s">
        <v>698</v>
      </c>
      <c r="H138" s="1" t="s">
        <v>698</v>
      </c>
      <c r="I138" s="1" t="s">
        <v>698</v>
      </c>
      <c r="J138" s="1">
        <f t="shared" si="11"/>
        <v>1</v>
      </c>
      <c r="L138" s="1" t="s">
        <v>719</v>
      </c>
      <c r="M138" s="7">
        <v>5</v>
      </c>
      <c r="N138" s="5" t="s">
        <v>459</v>
      </c>
      <c r="O138" s="3" t="s">
        <v>460</v>
      </c>
      <c r="P138" s="3" t="s">
        <v>14</v>
      </c>
      <c r="Q138" s="3">
        <v>3</v>
      </c>
      <c r="R138" s="43">
        <f>VLOOKUP('42'!O138,Malzemeler!C:D,2,0)</f>
        <v>4.55</v>
      </c>
      <c r="S138" s="43">
        <f t="shared" si="12"/>
        <v>13.649999999999999</v>
      </c>
    </row>
    <row r="139" spans="1:19" x14ac:dyDescent="0.35">
      <c r="A139" s="104"/>
      <c r="B139" s="1">
        <v>42</v>
      </c>
      <c r="C139" s="1" t="s">
        <v>698</v>
      </c>
      <c r="D139" s="1">
        <v>49</v>
      </c>
      <c r="E139" s="1">
        <v>5</v>
      </c>
      <c r="F139" s="1" t="s">
        <v>698</v>
      </c>
      <c r="G139" s="1" t="s">
        <v>698</v>
      </c>
      <c r="H139" s="1" t="s">
        <v>698</v>
      </c>
      <c r="I139" s="1" t="s">
        <v>698</v>
      </c>
      <c r="J139" s="1">
        <f t="shared" si="11"/>
        <v>1</v>
      </c>
      <c r="L139" s="1" t="s">
        <v>719</v>
      </c>
      <c r="M139" s="7">
        <v>6</v>
      </c>
      <c r="N139" s="5" t="s">
        <v>461</v>
      </c>
      <c r="O139" s="3" t="s">
        <v>462</v>
      </c>
      <c r="P139" s="3" t="s">
        <v>14</v>
      </c>
      <c r="Q139" s="3">
        <v>3</v>
      </c>
      <c r="R139" s="43">
        <f>VLOOKUP('42'!O139,Malzemeler!C:D,2,0)</f>
        <v>2.96</v>
      </c>
      <c r="S139" s="43">
        <f t="shared" si="12"/>
        <v>8.879999999999999</v>
      </c>
    </row>
    <row r="140" spans="1:19" x14ac:dyDescent="0.35">
      <c r="A140" s="104"/>
      <c r="B140" s="1">
        <v>42</v>
      </c>
      <c r="C140" s="1" t="s">
        <v>698</v>
      </c>
      <c r="D140" s="1">
        <v>5</v>
      </c>
      <c r="E140" s="1">
        <v>5</v>
      </c>
      <c r="F140" s="1" t="s">
        <v>698</v>
      </c>
      <c r="G140" s="1" t="s">
        <v>698</v>
      </c>
      <c r="H140" s="1" t="s">
        <v>698</v>
      </c>
      <c r="I140" s="1" t="s">
        <v>698</v>
      </c>
      <c r="J140" s="1">
        <f t="shared" si="11"/>
        <v>1</v>
      </c>
      <c r="L140" s="1" t="s">
        <v>719</v>
      </c>
      <c r="M140" s="7">
        <v>1</v>
      </c>
      <c r="N140" s="5" t="s">
        <v>211</v>
      </c>
      <c r="O140" s="3" t="s">
        <v>212</v>
      </c>
      <c r="P140" s="3" t="s">
        <v>14</v>
      </c>
      <c r="Q140" s="3">
        <v>6</v>
      </c>
      <c r="R140" s="43">
        <f>VLOOKUP('42'!O140,Malzemeler!C:D,2,0)</f>
        <v>4.43</v>
      </c>
      <c r="S140" s="43">
        <f t="shared" si="12"/>
        <v>26.58</v>
      </c>
    </row>
    <row r="141" spans="1:19" x14ac:dyDescent="0.35">
      <c r="A141" s="104"/>
      <c r="B141" s="1">
        <v>42</v>
      </c>
      <c r="C141" s="1" t="s">
        <v>698</v>
      </c>
      <c r="D141" s="1">
        <v>5</v>
      </c>
      <c r="E141" s="1">
        <v>5</v>
      </c>
      <c r="F141" s="1" t="s">
        <v>698</v>
      </c>
      <c r="G141" s="1" t="s">
        <v>698</v>
      </c>
      <c r="H141" s="1" t="s">
        <v>698</v>
      </c>
      <c r="I141" s="1" t="s">
        <v>698</v>
      </c>
      <c r="J141" s="1">
        <f t="shared" si="11"/>
        <v>1</v>
      </c>
      <c r="L141" s="1" t="s">
        <v>719</v>
      </c>
      <c r="M141" s="7">
        <v>2</v>
      </c>
      <c r="N141" s="5" t="s">
        <v>213</v>
      </c>
      <c r="O141" s="3" t="s">
        <v>214</v>
      </c>
      <c r="P141" s="3" t="s">
        <v>14</v>
      </c>
      <c r="Q141" s="3">
        <v>6</v>
      </c>
      <c r="R141" s="43">
        <f>VLOOKUP('42'!O141,Malzemeler!C:D,2,0)</f>
        <v>3.04</v>
      </c>
      <c r="S141" s="43">
        <f t="shared" si="12"/>
        <v>18.240000000000002</v>
      </c>
    </row>
    <row r="142" spans="1:19" x14ac:dyDescent="0.35">
      <c r="A142" s="104" t="s">
        <v>478</v>
      </c>
      <c r="B142" s="1">
        <v>42</v>
      </c>
      <c r="C142" s="1" t="s">
        <v>572</v>
      </c>
      <c r="D142" s="1" t="s">
        <v>698</v>
      </c>
      <c r="E142" s="1" t="s">
        <v>698</v>
      </c>
      <c r="F142" s="1" t="s">
        <v>602</v>
      </c>
      <c r="G142" s="1" t="s">
        <v>698</v>
      </c>
      <c r="H142" s="1" t="s">
        <v>698</v>
      </c>
      <c r="I142" s="1" t="s">
        <v>698</v>
      </c>
      <c r="J142" s="1">
        <f t="shared" ref="J142:J164" si="13">SUBTOTAL(103,B142)</f>
        <v>1</v>
      </c>
      <c r="L142" s="1" t="s">
        <v>724</v>
      </c>
      <c r="M142" s="18">
        <v>1</v>
      </c>
      <c r="N142" s="1" t="s">
        <v>562</v>
      </c>
      <c r="O142" s="3" t="s">
        <v>192</v>
      </c>
      <c r="P142" s="3" t="s">
        <v>14</v>
      </c>
      <c r="Q142" s="11">
        <v>1</v>
      </c>
      <c r="R142" s="43">
        <f>VLOOKUP('42'!O142,Malzemeler!C:D,2,0)</f>
        <v>410</v>
      </c>
      <c r="S142" s="43">
        <f t="shared" si="12"/>
        <v>410</v>
      </c>
    </row>
    <row r="143" spans="1:19" x14ac:dyDescent="0.35">
      <c r="A143" s="104"/>
      <c r="B143" s="1">
        <v>42</v>
      </c>
      <c r="C143" s="1" t="s">
        <v>573</v>
      </c>
      <c r="D143" s="1" t="s">
        <v>698</v>
      </c>
      <c r="E143" s="1" t="s">
        <v>698</v>
      </c>
      <c r="F143" s="1" t="s">
        <v>602</v>
      </c>
      <c r="G143" s="1" t="s">
        <v>698</v>
      </c>
      <c r="H143" s="1" t="s">
        <v>698</v>
      </c>
      <c r="I143" s="1" t="s">
        <v>698</v>
      </c>
      <c r="J143" s="1">
        <f t="shared" si="13"/>
        <v>1</v>
      </c>
      <c r="L143" s="1" t="s">
        <v>725</v>
      </c>
      <c r="M143" s="18">
        <v>1</v>
      </c>
      <c r="N143" s="28" t="s">
        <v>562</v>
      </c>
      <c r="O143" s="3" t="str">
        <f>VLOOKUP(N143,Malzemeler!B:C,2,)</f>
        <v>-</v>
      </c>
      <c r="P143" s="3" t="s">
        <v>14</v>
      </c>
      <c r="Q143" s="11">
        <v>1</v>
      </c>
      <c r="R143" s="43">
        <f>VLOOKUP('42'!O143,Malzemeler!C:D,2,0)</f>
        <v>410</v>
      </c>
      <c r="S143" s="43">
        <f t="shared" ref="S143" si="14">+R143*Q143</f>
        <v>410</v>
      </c>
    </row>
    <row r="144" spans="1:19" x14ac:dyDescent="0.35">
      <c r="A144" s="104"/>
      <c r="B144" s="1">
        <v>42</v>
      </c>
      <c r="C144" s="1" t="s">
        <v>698</v>
      </c>
      <c r="D144" s="1" t="s">
        <v>698</v>
      </c>
      <c r="E144" s="1" t="s">
        <v>698</v>
      </c>
      <c r="F144" s="1" t="s">
        <v>602</v>
      </c>
      <c r="G144" s="1" t="s">
        <v>698</v>
      </c>
      <c r="H144" s="1" t="s">
        <v>698</v>
      </c>
      <c r="I144" s="1" t="s">
        <v>698</v>
      </c>
      <c r="J144" s="1">
        <f t="shared" si="13"/>
        <v>1</v>
      </c>
      <c r="L144" s="1" t="s">
        <v>478</v>
      </c>
      <c r="M144" s="18">
        <v>2</v>
      </c>
      <c r="N144" s="1" t="s">
        <v>488</v>
      </c>
      <c r="O144" s="3" t="s">
        <v>489</v>
      </c>
      <c r="P144" s="3" t="s">
        <v>14</v>
      </c>
      <c r="Q144" s="11">
        <v>1</v>
      </c>
      <c r="R144" s="43">
        <f>VLOOKUP('42'!O144,Malzemeler!C:D,2,0)</f>
        <v>214.49999999999997</v>
      </c>
      <c r="S144" s="43">
        <f t="shared" si="12"/>
        <v>214.49999999999997</v>
      </c>
    </row>
    <row r="145" spans="1:19" x14ac:dyDescent="0.35">
      <c r="A145" s="104"/>
      <c r="B145" s="1">
        <v>42</v>
      </c>
      <c r="C145" s="1" t="s">
        <v>698</v>
      </c>
      <c r="D145" s="1" t="s">
        <v>698</v>
      </c>
      <c r="E145" s="1" t="s">
        <v>698</v>
      </c>
      <c r="F145" s="1" t="s">
        <v>602</v>
      </c>
      <c r="G145" s="1" t="s">
        <v>698</v>
      </c>
      <c r="H145" s="1" t="s">
        <v>698</v>
      </c>
      <c r="I145" s="1" t="s">
        <v>698</v>
      </c>
      <c r="J145" s="1">
        <f t="shared" si="13"/>
        <v>1</v>
      </c>
      <c r="L145" s="1" t="s">
        <v>478</v>
      </c>
      <c r="M145" s="18">
        <v>3</v>
      </c>
      <c r="N145" s="5" t="s">
        <v>486</v>
      </c>
      <c r="O145" s="3" t="s">
        <v>487</v>
      </c>
      <c r="P145" s="3" t="s">
        <v>14</v>
      </c>
      <c r="Q145" s="11">
        <v>1</v>
      </c>
      <c r="R145" s="43">
        <f>VLOOKUP('42'!O145,Malzemeler!C:D,2,0)</f>
        <v>113.85</v>
      </c>
      <c r="S145" s="43">
        <f t="shared" si="12"/>
        <v>113.85</v>
      </c>
    </row>
    <row r="146" spans="1:19" x14ac:dyDescent="0.35">
      <c r="A146" s="104"/>
      <c r="B146" s="1">
        <v>42</v>
      </c>
      <c r="C146" s="1" t="s">
        <v>698</v>
      </c>
      <c r="D146" s="1" t="s">
        <v>698</v>
      </c>
      <c r="E146" s="1" t="s">
        <v>698</v>
      </c>
      <c r="F146" s="1" t="s">
        <v>602</v>
      </c>
      <c r="G146" s="1" t="s">
        <v>698</v>
      </c>
      <c r="H146" s="1" t="s">
        <v>698</v>
      </c>
      <c r="I146" s="1" t="s">
        <v>698</v>
      </c>
      <c r="J146" s="1">
        <f t="shared" si="13"/>
        <v>1</v>
      </c>
      <c r="L146" s="1" t="s">
        <v>478</v>
      </c>
      <c r="M146" s="18">
        <v>4</v>
      </c>
      <c r="N146" s="1" t="s">
        <v>90</v>
      </c>
      <c r="O146" s="3" t="s">
        <v>91</v>
      </c>
      <c r="P146" s="3" t="s">
        <v>135</v>
      </c>
      <c r="Q146" s="10">
        <v>7.0719999999999956</v>
      </c>
      <c r="R146" s="43">
        <f>VLOOKUP('42'!O146,Malzemeler!C:D,2,0)</f>
        <v>1.27</v>
      </c>
      <c r="S146" s="43">
        <f t="shared" si="12"/>
        <v>8.9814399999999939</v>
      </c>
    </row>
    <row r="147" spans="1:19" x14ac:dyDescent="0.35">
      <c r="A147" s="104"/>
      <c r="B147" s="1">
        <v>42</v>
      </c>
      <c r="C147" s="1" t="s">
        <v>698</v>
      </c>
      <c r="D147" s="1" t="s">
        <v>698</v>
      </c>
      <c r="E147" s="1" t="s">
        <v>698</v>
      </c>
      <c r="F147" s="1" t="s">
        <v>602</v>
      </c>
      <c r="G147" s="1" t="s">
        <v>698</v>
      </c>
      <c r="H147" s="1" t="s">
        <v>698</v>
      </c>
      <c r="I147" s="1" t="s">
        <v>698</v>
      </c>
      <c r="J147" s="1">
        <f t="shared" si="13"/>
        <v>1</v>
      </c>
      <c r="L147" s="1" t="s">
        <v>478</v>
      </c>
      <c r="M147" s="18">
        <v>5</v>
      </c>
      <c r="N147" s="1" t="s">
        <v>92</v>
      </c>
      <c r="O147" s="3" t="s">
        <v>93</v>
      </c>
      <c r="P147" s="3" t="s">
        <v>135</v>
      </c>
      <c r="Q147" s="10">
        <v>2.7539999999999996</v>
      </c>
      <c r="R147" s="43">
        <f>VLOOKUP('42'!O147,Malzemeler!C:D,2,0)</f>
        <v>1.74</v>
      </c>
      <c r="S147" s="43">
        <f t="shared" si="12"/>
        <v>4.7919599999999996</v>
      </c>
    </row>
    <row r="148" spans="1:19" x14ac:dyDescent="0.35">
      <c r="A148" s="104"/>
      <c r="B148" s="1">
        <v>42</v>
      </c>
      <c r="C148" s="1" t="s">
        <v>698</v>
      </c>
      <c r="D148" s="1" t="s">
        <v>698</v>
      </c>
      <c r="E148" s="1" t="s">
        <v>698</v>
      </c>
      <c r="F148" s="1" t="s">
        <v>602</v>
      </c>
      <c r="G148" s="1" t="s">
        <v>698</v>
      </c>
      <c r="H148" s="1" t="s">
        <v>698</v>
      </c>
      <c r="I148" s="1" t="s">
        <v>698</v>
      </c>
      <c r="J148" s="1">
        <f t="shared" si="13"/>
        <v>1</v>
      </c>
      <c r="L148" s="1" t="s">
        <v>478</v>
      </c>
      <c r="M148" s="18">
        <v>6</v>
      </c>
      <c r="N148" s="1" t="s">
        <v>94</v>
      </c>
      <c r="O148" s="3" t="s">
        <v>95</v>
      </c>
      <c r="P148" s="3" t="s">
        <v>135</v>
      </c>
      <c r="Q148" s="10">
        <v>9.4960000000000093</v>
      </c>
      <c r="R148" s="43">
        <f>VLOOKUP('42'!O148,Malzemeler!C:D,2,0)</f>
        <v>1.95</v>
      </c>
      <c r="S148" s="43">
        <f t="shared" si="12"/>
        <v>18.517200000000017</v>
      </c>
    </row>
    <row r="149" spans="1:19" x14ac:dyDescent="0.35">
      <c r="A149" s="104"/>
      <c r="B149" s="1">
        <v>42</v>
      </c>
      <c r="C149" s="1" t="s">
        <v>698</v>
      </c>
      <c r="D149" s="1" t="s">
        <v>698</v>
      </c>
      <c r="E149" s="1" t="s">
        <v>698</v>
      </c>
      <c r="F149" s="1" t="s">
        <v>602</v>
      </c>
      <c r="G149" s="1" t="s">
        <v>698</v>
      </c>
      <c r="H149" s="1" t="s">
        <v>698</v>
      </c>
      <c r="I149" s="1" t="s">
        <v>698</v>
      </c>
      <c r="J149" s="1">
        <f t="shared" si="13"/>
        <v>1</v>
      </c>
      <c r="L149" s="1" t="s">
        <v>478</v>
      </c>
      <c r="M149" s="18">
        <v>7</v>
      </c>
      <c r="N149" s="1" t="s">
        <v>98</v>
      </c>
      <c r="O149" s="3" t="s">
        <v>99</v>
      </c>
      <c r="P149" s="3" t="s">
        <v>133</v>
      </c>
      <c r="Q149" s="10">
        <v>0.96699999999999875</v>
      </c>
      <c r="R149" s="43">
        <f>VLOOKUP('42'!O149,Malzemeler!C:D,2,0)</f>
        <v>0.87</v>
      </c>
      <c r="S149" s="43">
        <f t="shared" si="12"/>
        <v>0.84128999999999887</v>
      </c>
    </row>
    <row r="150" spans="1:19" x14ac:dyDescent="0.35">
      <c r="A150" s="104"/>
      <c r="B150" s="1">
        <v>42</v>
      </c>
      <c r="C150" s="1" t="s">
        <v>698</v>
      </c>
      <c r="D150" s="1" t="s">
        <v>698</v>
      </c>
      <c r="E150" s="1" t="s">
        <v>698</v>
      </c>
      <c r="F150" s="1" t="s">
        <v>602</v>
      </c>
      <c r="G150" s="1" t="s">
        <v>698</v>
      </c>
      <c r="H150" s="1" t="s">
        <v>698</v>
      </c>
      <c r="I150" s="1" t="s">
        <v>698</v>
      </c>
      <c r="J150" s="1">
        <f t="shared" si="13"/>
        <v>1</v>
      </c>
      <c r="L150" s="1" t="s">
        <v>478</v>
      </c>
      <c r="M150" s="18">
        <v>8</v>
      </c>
      <c r="N150" s="1" t="s">
        <v>102</v>
      </c>
      <c r="O150" s="3" t="s">
        <v>103</v>
      </c>
      <c r="P150" s="3" t="s">
        <v>133</v>
      </c>
      <c r="Q150" s="10">
        <v>14.89</v>
      </c>
      <c r="R150" s="43">
        <f>VLOOKUP('42'!O150,Malzemeler!C:D,2,0)</f>
        <v>1.1299999999999999</v>
      </c>
      <c r="S150" s="43">
        <f t="shared" si="12"/>
        <v>16.825699999999998</v>
      </c>
    </row>
    <row r="151" spans="1:19" x14ac:dyDescent="0.35">
      <c r="A151" s="104"/>
      <c r="B151" s="1">
        <v>42</v>
      </c>
      <c r="C151" s="1" t="s">
        <v>698</v>
      </c>
      <c r="D151" s="1" t="s">
        <v>698</v>
      </c>
      <c r="E151" s="1" t="s">
        <v>698</v>
      </c>
      <c r="F151" s="1" t="s">
        <v>602</v>
      </c>
      <c r="G151" s="1" t="s">
        <v>698</v>
      </c>
      <c r="H151" s="1" t="s">
        <v>698</v>
      </c>
      <c r="I151" s="1" t="s">
        <v>698</v>
      </c>
      <c r="J151" s="1">
        <f t="shared" si="13"/>
        <v>1</v>
      </c>
      <c r="L151" s="1" t="s">
        <v>478</v>
      </c>
      <c r="M151" s="18">
        <v>9</v>
      </c>
      <c r="N151" s="1" t="s">
        <v>104</v>
      </c>
      <c r="O151" s="3" t="s">
        <v>105</v>
      </c>
      <c r="P151" s="3" t="s">
        <v>133</v>
      </c>
      <c r="Q151" s="10">
        <v>107.33660048000013</v>
      </c>
      <c r="R151" s="43">
        <f>VLOOKUP('42'!O151,Malzemeler!C:D,2,0)</f>
        <v>0.98</v>
      </c>
      <c r="S151" s="43">
        <f t="shared" si="12"/>
        <v>105.18986847040013</v>
      </c>
    </row>
    <row r="152" spans="1:19" x14ac:dyDescent="0.35">
      <c r="A152" s="104"/>
      <c r="B152" s="1">
        <v>42</v>
      </c>
      <c r="C152" s="1" t="s">
        <v>698</v>
      </c>
      <c r="D152" s="1" t="s">
        <v>698</v>
      </c>
      <c r="E152" s="1" t="s">
        <v>698</v>
      </c>
      <c r="F152" s="1" t="s">
        <v>602</v>
      </c>
      <c r="G152" s="1" t="s">
        <v>698</v>
      </c>
      <c r="H152" s="1" t="s">
        <v>698</v>
      </c>
      <c r="I152" s="1" t="s">
        <v>698</v>
      </c>
      <c r="J152" s="1">
        <f t="shared" si="13"/>
        <v>1</v>
      </c>
      <c r="L152" s="1" t="s">
        <v>478</v>
      </c>
      <c r="M152" s="18">
        <v>10</v>
      </c>
      <c r="N152" s="1" t="s">
        <v>106</v>
      </c>
      <c r="O152" s="3" t="s">
        <v>107</v>
      </c>
      <c r="P152" s="3" t="s">
        <v>14</v>
      </c>
      <c r="Q152" s="11">
        <v>4</v>
      </c>
      <c r="R152" s="43">
        <f>VLOOKUP('42'!O152,Malzemeler!C:D,2,0)</f>
        <v>0</v>
      </c>
      <c r="S152" s="43">
        <f t="shared" si="12"/>
        <v>0</v>
      </c>
    </row>
    <row r="153" spans="1:19" x14ac:dyDescent="0.35">
      <c r="A153" s="104"/>
      <c r="B153" s="1">
        <v>42</v>
      </c>
      <c r="C153" s="1" t="s">
        <v>698</v>
      </c>
      <c r="D153" s="1" t="s">
        <v>698</v>
      </c>
      <c r="E153" s="1" t="s">
        <v>698</v>
      </c>
      <c r="F153" s="1" t="s">
        <v>602</v>
      </c>
      <c r="G153" s="1" t="s">
        <v>698</v>
      </c>
      <c r="H153" s="1" t="s">
        <v>698</v>
      </c>
      <c r="I153" s="1" t="s">
        <v>698</v>
      </c>
      <c r="J153" s="1">
        <f t="shared" si="13"/>
        <v>1</v>
      </c>
      <c r="L153" s="1" t="s">
        <v>478</v>
      </c>
      <c r="M153" s="18">
        <v>11</v>
      </c>
      <c r="N153" s="1" t="s">
        <v>108</v>
      </c>
      <c r="O153" s="3" t="s">
        <v>109</v>
      </c>
      <c r="P153" s="3" t="s">
        <v>14</v>
      </c>
      <c r="Q153" s="11">
        <v>4</v>
      </c>
      <c r="R153" s="43">
        <f>VLOOKUP('42'!O153,Malzemeler!C:D,2,0)</f>
        <v>0</v>
      </c>
      <c r="S153" s="43">
        <f t="shared" si="12"/>
        <v>0</v>
      </c>
    </row>
    <row r="154" spans="1:19" x14ac:dyDescent="0.35">
      <c r="A154" s="104"/>
      <c r="B154" s="1">
        <v>42</v>
      </c>
      <c r="C154" s="1" t="s">
        <v>698</v>
      </c>
      <c r="D154" s="1" t="s">
        <v>698</v>
      </c>
      <c r="E154" s="1" t="s">
        <v>698</v>
      </c>
      <c r="F154" s="1" t="s">
        <v>602</v>
      </c>
      <c r="G154" s="1" t="s">
        <v>698</v>
      </c>
      <c r="H154" s="1" t="s">
        <v>698</v>
      </c>
      <c r="I154" s="1" t="s">
        <v>698</v>
      </c>
      <c r="J154" s="1">
        <f t="shared" si="13"/>
        <v>1</v>
      </c>
      <c r="L154" s="1" t="s">
        <v>478</v>
      </c>
      <c r="M154" s="18">
        <v>12</v>
      </c>
      <c r="N154" s="1" t="s">
        <v>110</v>
      </c>
      <c r="O154" s="3" t="s">
        <v>111</v>
      </c>
      <c r="P154" s="3" t="s">
        <v>135</v>
      </c>
      <c r="Q154" s="10">
        <v>16.851999999999975</v>
      </c>
      <c r="R154" s="43">
        <f>VLOOKUP('42'!O154,Malzemeler!C:D,2,0)</f>
        <v>1.1200000000000001</v>
      </c>
      <c r="S154" s="43">
        <f t="shared" si="12"/>
        <v>18.874239999999975</v>
      </c>
    </row>
    <row r="155" spans="1:19" x14ac:dyDescent="0.35">
      <c r="A155" s="104"/>
      <c r="B155" s="1">
        <v>42</v>
      </c>
      <c r="C155" s="1" t="s">
        <v>698</v>
      </c>
      <c r="D155" s="1" t="s">
        <v>698</v>
      </c>
      <c r="E155" s="1" t="s">
        <v>698</v>
      </c>
      <c r="F155" s="1" t="s">
        <v>602</v>
      </c>
      <c r="G155" s="1" t="s">
        <v>698</v>
      </c>
      <c r="H155" s="1" t="s">
        <v>698</v>
      </c>
      <c r="I155" s="1" t="s">
        <v>698</v>
      </c>
      <c r="J155" s="1">
        <f t="shared" si="13"/>
        <v>1</v>
      </c>
      <c r="L155" s="1" t="s">
        <v>478</v>
      </c>
      <c r="M155" s="18">
        <v>13</v>
      </c>
      <c r="N155" s="1" t="s">
        <v>112</v>
      </c>
      <c r="O155" s="3" t="s">
        <v>113</v>
      </c>
      <c r="P155" s="3" t="s">
        <v>14</v>
      </c>
      <c r="Q155" s="11">
        <v>20</v>
      </c>
      <c r="R155" s="43">
        <f>VLOOKUP('42'!O155,Malzemeler!C:D,2,0)</f>
        <v>1.1200000000000001</v>
      </c>
      <c r="S155" s="43">
        <f t="shared" si="12"/>
        <v>22.400000000000002</v>
      </c>
    </row>
    <row r="156" spans="1:19" x14ac:dyDescent="0.35">
      <c r="A156" s="104"/>
      <c r="B156" s="1">
        <v>42</v>
      </c>
      <c r="C156" s="1" t="s">
        <v>698</v>
      </c>
      <c r="D156" s="1" t="s">
        <v>698</v>
      </c>
      <c r="E156" s="1" t="s">
        <v>698</v>
      </c>
      <c r="F156" s="1" t="s">
        <v>602</v>
      </c>
      <c r="G156" s="1" t="s">
        <v>698</v>
      </c>
      <c r="H156" s="1" t="s">
        <v>698</v>
      </c>
      <c r="I156" s="1" t="s">
        <v>698</v>
      </c>
      <c r="J156" s="1">
        <f t="shared" si="13"/>
        <v>1</v>
      </c>
      <c r="L156" s="1" t="s">
        <v>478</v>
      </c>
      <c r="M156" s="18">
        <v>14</v>
      </c>
      <c r="N156" s="1" t="s">
        <v>268</v>
      </c>
      <c r="O156" s="3" t="s">
        <v>269</v>
      </c>
      <c r="P156" s="3" t="s">
        <v>14</v>
      </c>
      <c r="Q156" s="11">
        <v>2</v>
      </c>
      <c r="R156" s="43">
        <f>VLOOKUP('42'!O156,Malzemeler!C:D,2,0)</f>
        <v>3.2450000000000001</v>
      </c>
      <c r="S156" s="43">
        <f t="shared" si="12"/>
        <v>6.49</v>
      </c>
    </row>
    <row r="157" spans="1:19" x14ac:dyDescent="0.35">
      <c r="A157" s="104"/>
      <c r="B157" s="1">
        <v>42</v>
      </c>
      <c r="C157" s="1" t="s">
        <v>698</v>
      </c>
      <c r="D157" s="1" t="s">
        <v>698</v>
      </c>
      <c r="E157" s="1" t="s">
        <v>698</v>
      </c>
      <c r="F157" s="1" t="s">
        <v>602</v>
      </c>
      <c r="G157" s="1" t="s">
        <v>698</v>
      </c>
      <c r="H157" s="1" t="s">
        <v>698</v>
      </c>
      <c r="I157" s="1" t="s">
        <v>698</v>
      </c>
      <c r="J157" s="1">
        <f t="shared" si="13"/>
        <v>1</v>
      </c>
      <c r="L157" s="1" t="s">
        <v>478</v>
      </c>
      <c r="M157" s="18">
        <v>15</v>
      </c>
      <c r="N157" s="1" t="s">
        <v>476</v>
      </c>
      <c r="O157" s="3" t="s">
        <v>477</v>
      </c>
      <c r="P157" s="3" t="s">
        <v>14</v>
      </c>
      <c r="Q157" s="10">
        <v>2</v>
      </c>
      <c r="R157" s="43">
        <f>VLOOKUP('42'!O157,Malzemeler!C:D,2,0)</f>
        <v>2.2709999999999999</v>
      </c>
      <c r="S157" s="43">
        <f t="shared" si="12"/>
        <v>4.5419999999999998</v>
      </c>
    </row>
    <row r="158" spans="1:19" x14ac:dyDescent="0.35">
      <c r="A158" s="104"/>
      <c r="B158" s="1">
        <v>42</v>
      </c>
      <c r="C158" s="1" t="s">
        <v>698</v>
      </c>
      <c r="D158" s="1" t="s">
        <v>698</v>
      </c>
      <c r="E158" s="1" t="s">
        <v>698</v>
      </c>
      <c r="F158" s="1" t="s">
        <v>602</v>
      </c>
      <c r="G158" s="1" t="s">
        <v>698</v>
      </c>
      <c r="H158" s="1" t="s">
        <v>698</v>
      </c>
      <c r="I158" s="1" t="s">
        <v>698</v>
      </c>
      <c r="J158" s="1">
        <f t="shared" si="13"/>
        <v>1</v>
      </c>
      <c r="L158" s="1" t="s">
        <v>478</v>
      </c>
      <c r="M158" s="18">
        <v>16</v>
      </c>
      <c r="N158" s="1" t="s">
        <v>114</v>
      </c>
      <c r="O158" s="3" t="s">
        <v>115</v>
      </c>
      <c r="P158" s="3" t="s">
        <v>135</v>
      </c>
      <c r="Q158" s="11">
        <v>2.5519999999999996</v>
      </c>
      <c r="R158" s="43">
        <f>VLOOKUP('42'!O158,Malzemeler!C:D,2,0)</f>
        <v>2.21</v>
      </c>
      <c r="S158" s="43">
        <f t="shared" si="12"/>
        <v>5.6399199999999992</v>
      </c>
    </row>
    <row r="159" spans="1:19" x14ac:dyDescent="0.35">
      <c r="A159" s="104" t="s">
        <v>651</v>
      </c>
      <c r="B159" s="1">
        <v>42</v>
      </c>
      <c r="C159" s="1" t="s">
        <v>572</v>
      </c>
      <c r="D159" s="1" t="s">
        <v>698</v>
      </c>
      <c r="E159" s="1" t="s">
        <v>698</v>
      </c>
      <c r="F159" s="1" t="s">
        <v>698</v>
      </c>
      <c r="G159" s="1" t="s">
        <v>698</v>
      </c>
      <c r="H159" s="1">
        <v>1</v>
      </c>
      <c r="I159" s="1" t="s">
        <v>698</v>
      </c>
      <c r="J159" s="1">
        <f t="shared" si="13"/>
        <v>1</v>
      </c>
      <c r="L159" s="1" t="s">
        <v>726</v>
      </c>
      <c r="M159" s="18">
        <v>1</v>
      </c>
      <c r="N159" s="1" t="s">
        <v>561</v>
      </c>
      <c r="O159" s="3" t="s">
        <v>192</v>
      </c>
      <c r="P159" s="3" t="s">
        <v>14</v>
      </c>
      <c r="Q159" s="11">
        <v>1</v>
      </c>
      <c r="R159" s="43">
        <f>VLOOKUP('42'!O159,Malzemeler!C:D,2,0)</f>
        <v>410</v>
      </c>
      <c r="S159" s="43">
        <f t="shared" si="12"/>
        <v>410</v>
      </c>
    </row>
    <row r="160" spans="1:19" x14ac:dyDescent="0.35">
      <c r="A160" s="104"/>
      <c r="B160" s="1">
        <v>42</v>
      </c>
      <c r="C160" s="1" t="s">
        <v>573</v>
      </c>
      <c r="D160" s="1" t="s">
        <v>698</v>
      </c>
      <c r="E160" s="1" t="s">
        <v>698</v>
      </c>
      <c r="F160" s="1" t="s">
        <v>698</v>
      </c>
      <c r="G160" s="1" t="s">
        <v>698</v>
      </c>
      <c r="H160" s="1">
        <v>1</v>
      </c>
      <c r="I160" s="1" t="s">
        <v>698</v>
      </c>
      <c r="J160" s="1">
        <f>SUBTOTAL(103,B160)</f>
        <v>1</v>
      </c>
      <c r="L160" s="1" t="s">
        <v>727</v>
      </c>
      <c r="M160" s="18">
        <v>1</v>
      </c>
      <c r="N160" s="28" t="s">
        <v>561</v>
      </c>
      <c r="O160" s="3" t="s">
        <v>701</v>
      </c>
      <c r="P160" s="3" t="s">
        <v>14</v>
      </c>
      <c r="Q160" s="11">
        <v>1</v>
      </c>
      <c r="R160" s="43" t="e">
        <f>VLOOKUP('42'!O160,Malzemeler!C:D,2,0)</f>
        <v>#N/A</v>
      </c>
      <c r="S160" s="43" t="e">
        <f>+R160*Q160</f>
        <v>#N/A</v>
      </c>
    </row>
    <row r="161" spans="1:19" x14ac:dyDescent="0.35">
      <c r="A161" s="104"/>
      <c r="B161" s="1">
        <v>42</v>
      </c>
      <c r="C161" s="1" t="s">
        <v>698</v>
      </c>
      <c r="D161" s="1" t="s">
        <v>698</v>
      </c>
      <c r="E161" s="1" t="s">
        <v>698</v>
      </c>
      <c r="F161" s="1" t="s">
        <v>698</v>
      </c>
      <c r="G161" s="1" t="s">
        <v>698</v>
      </c>
      <c r="H161" s="1">
        <v>1</v>
      </c>
      <c r="I161" s="1" t="s">
        <v>698</v>
      </c>
      <c r="J161" s="1">
        <f t="shared" si="13"/>
        <v>1</v>
      </c>
      <c r="L161" s="1" t="s">
        <v>747</v>
      </c>
      <c r="M161" s="18">
        <v>2</v>
      </c>
      <c r="N161" s="1" t="s">
        <v>301</v>
      </c>
      <c r="O161" s="3" t="s">
        <v>302</v>
      </c>
      <c r="P161" s="3" t="s">
        <v>14</v>
      </c>
      <c r="Q161" s="11">
        <v>1</v>
      </c>
      <c r="R161" s="43">
        <f>VLOOKUP('42'!O161,Malzemeler!C:D,2,0)</f>
        <v>75.899999999999991</v>
      </c>
      <c r="S161" s="43">
        <f t="shared" si="12"/>
        <v>75.899999999999991</v>
      </c>
    </row>
    <row r="162" spans="1:19" x14ac:dyDescent="0.35">
      <c r="A162" s="104"/>
      <c r="B162" s="1">
        <v>42</v>
      </c>
      <c r="C162" s="1" t="s">
        <v>698</v>
      </c>
      <c r="D162" s="1" t="s">
        <v>698</v>
      </c>
      <c r="E162" s="1" t="s">
        <v>698</v>
      </c>
      <c r="F162" s="1" t="s">
        <v>698</v>
      </c>
      <c r="G162" s="1" t="s">
        <v>698</v>
      </c>
      <c r="H162" s="1">
        <v>1</v>
      </c>
      <c r="I162" s="1" t="s">
        <v>698</v>
      </c>
      <c r="J162" s="1">
        <f t="shared" si="13"/>
        <v>1</v>
      </c>
      <c r="L162" s="1" t="s">
        <v>747</v>
      </c>
      <c r="M162" s="18">
        <v>3</v>
      </c>
      <c r="N162" s="1" t="s">
        <v>54</v>
      </c>
      <c r="O162" s="3" t="s">
        <v>57</v>
      </c>
      <c r="P162" s="3" t="s">
        <v>14</v>
      </c>
      <c r="Q162" s="11">
        <v>1</v>
      </c>
      <c r="R162" s="43">
        <f>VLOOKUP('42'!O162,Malzemeler!C:D,2,0)</f>
        <v>77.55</v>
      </c>
      <c r="S162" s="43">
        <f t="shared" si="12"/>
        <v>77.55</v>
      </c>
    </row>
    <row r="163" spans="1:19" x14ac:dyDescent="0.35">
      <c r="A163" s="104"/>
      <c r="B163" s="1">
        <v>42</v>
      </c>
      <c r="C163" s="1" t="s">
        <v>698</v>
      </c>
      <c r="D163" s="1" t="s">
        <v>698</v>
      </c>
      <c r="E163" s="1" t="s">
        <v>698</v>
      </c>
      <c r="F163" s="1" t="s">
        <v>698</v>
      </c>
      <c r="G163" s="1" t="s">
        <v>698</v>
      </c>
      <c r="H163" s="1">
        <v>1</v>
      </c>
      <c r="I163" s="1" t="s">
        <v>698</v>
      </c>
      <c r="J163" s="1">
        <f t="shared" si="13"/>
        <v>1</v>
      </c>
      <c r="L163" s="1" t="s">
        <v>747</v>
      </c>
      <c r="M163" s="18">
        <v>4</v>
      </c>
      <c r="N163" s="5" t="s">
        <v>593</v>
      </c>
      <c r="O163" s="3" t="s">
        <v>592</v>
      </c>
      <c r="P163" s="3" t="s">
        <v>14</v>
      </c>
      <c r="Q163" s="3">
        <v>1</v>
      </c>
      <c r="R163" s="43">
        <f>VLOOKUP('42'!O163,Malzemeler!C:D,2,0)</f>
        <v>0</v>
      </c>
      <c r="S163" s="43">
        <f t="shared" si="12"/>
        <v>0</v>
      </c>
    </row>
    <row r="164" spans="1:19" ht="34.799999999999997" x14ac:dyDescent="0.35">
      <c r="A164" s="34" t="s">
        <v>721</v>
      </c>
      <c r="B164" s="1">
        <v>42</v>
      </c>
      <c r="C164" s="1" t="s">
        <v>698</v>
      </c>
      <c r="D164" s="1" t="s">
        <v>698</v>
      </c>
      <c r="E164" s="1" t="s">
        <v>698</v>
      </c>
      <c r="F164" s="1" t="s">
        <v>698</v>
      </c>
      <c r="G164" s="1" t="s">
        <v>698</v>
      </c>
      <c r="H164" s="1" t="s">
        <v>698</v>
      </c>
      <c r="I164" s="1">
        <v>1</v>
      </c>
      <c r="J164" s="1">
        <f t="shared" si="13"/>
        <v>1</v>
      </c>
      <c r="L164" s="1" t="s">
        <v>721</v>
      </c>
      <c r="M164" s="7">
        <v>1</v>
      </c>
      <c r="N164" s="5" t="s">
        <v>668</v>
      </c>
      <c r="O164" s="3" t="s">
        <v>669</v>
      </c>
      <c r="P164" s="3" t="s">
        <v>14</v>
      </c>
      <c r="Q164" s="3">
        <v>1</v>
      </c>
      <c r="R164" s="43">
        <f>VLOOKUP('42'!O164,Malzemeler!C:D,2,0)</f>
        <v>0</v>
      </c>
      <c r="S164" s="43">
        <f t="shared" si="12"/>
        <v>0</v>
      </c>
    </row>
  </sheetData>
  <mergeCells count="5">
    <mergeCell ref="A159:A163"/>
    <mergeCell ref="A128:A141"/>
    <mergeCell ref="A142:A158"/>
    <mergeCell ref="A93:A123"/>
    <mergeCell ref="A3:A92"/>
  </mergeCells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5D4D5-A6D4-4894-84B4-8F2309C7726C}">
  <sheetPr codeName="Sayfa10"/>
  <dimension ref="A1:T167"/>
  <sheetViews>
    <sheetView topLeftCell="L105" zoomScaleNormal="100" workbookViewId="0">
      <selection activeCell="O127" sqref="O127:O131"/>
    </sheetView>
  </sheetViews>
  <sheetFormatPr defaultColWidth="8.6640625" defaultRowHeight="15" x14ac:dyDescent="0.35"/>
  <cols>
    <col min="1" max="10" width="8.6640625" style="1"/>
    <col min="11" max="11" width="5.21875" style="1" customWidth="1"/>
    <col min="12" max="12" width="32.77734375" style="1" customWidth="1"/>
    <col min="13" max="13" width="4.21875" style="2" customWidth="1"/>
    <col min="14" max="14" width="89.77734375" style="1" customWidth="1"/>
    <col min="15" max="15" width="27.44140625" style="3" customWidth="1"/>
    <col min="16" max="16" width="7.21875" style="3" customWidth="1"/>
    <col min="17" max="17" width="8.88671875" style="3" customWidth="1"/>
    <col min="18" max="18" width="16.33203125" style="1" bestFit="1" customWidth="1"/>
    <col min="19" max="19" width="16" style="1" bestFit="1" customWidth="1"/>
    <col min="20" max="20" width="9.109375" style="1" bestFit="1" customWidth="1"/>
    <col min="21" max="21" width="8.6640625" style="1"/>
    <col min="22" max="22" width="4.21875" style="1" bestFit="1" customWidth="1"/>
    <col min="23" max="23" width="32.6640625" style="1" bestFit="1" customWidth="1"/>
    <col min="24" max="24" width="18" style="1" bestFit="1" customWidth="1"/>
    <col min="25" max="25" width="7.21875" style="1" bestFit="1" customWidth="1"/>
    <col min="26" max="26" width="9.109375" style="1" bestFit="1" customWidth="1"/>
    <col min="27" max="16384" width="8.6640625" style="1"/>
  </cols>
  <sheetData>
    <row r="1" spans="1:19" x14ac:dyDescent="0.35">
      <c r="B1" s="5" t="s">
        <v>493</v>
      </c>
      <c r="C1" s="5" t="s">
        <v>571</v>
      </c>
      <c r="D1" s="5" t="s">
        <v>569</v>
      </c>
      <c r="E1" s="5" t="s">
        <v>570</v>
      </c>
      <c r="F1" s="5" t="s">
        <v>581</v>
      </c>
      <c r="G1" s="5" t="s">
        <v>599</v>
      </c>
      <c r="H1" s="5" t="s">
        <v>600</v>
      </c>
      <c r="I1" s="5" t="s">
        <v>601</v>
      </c>
      <c r="N1" s="4" t="s">
        <v>404</v>
      </c>
    </row>
    <row r="2" spans="1:19" x14ac:dyDescent="0.35">
      <c r="B2" s="1">
        <v>53</v>
      </c>
      <c r="C2" s="1" t="s">
        <v>698</v>
      </c>
      <c r="D2" s="1" t="s">
        <v>698</v>
      </c>
      <c r="E2" s="1" t="s">
        <v>698</v>
      </c>
      <c r="F2" s="1" t="s">
        <v>698</v>
      </c>
      <c r="G2" s="1" t="s">
        <v>698</v>
      </c>
      <c r="H2" s="1" t="s">
        <v>698</v>
      </c>
      <c r="I2" s="1" t="s">
        <v>698</v>
      </c>
      <c r="J2" s="1">
        <f>SUBTOTAL(103,B2)</f>
        <v>1</v>
      </c>
      <c r="M2" s="8" t="s">
        <v>1</v>
      </c>
      <c r="N2" s="9" t="s">
        <v>2</v>
      </c>
      <c r="O2" s="9" t="s">
        <v>3</v>
      </c>
      <c r="P2" s="9" t="s">
        <v>4</v>
      </c>
      <c r="Q2" s="9" t="s">
        <v>5</v>
      </c>
      <c r="R2" s="9" t="s">
        <v>739</v>
      </c>
      <c r="S2" s="9" t="s">
        <v>740</v>
      </c>
    </row>
    <row r="3" spans="1:19" ht="15" customHeight="1" x14ac:dyDescent="0.35">
      <c r="A3" s="104" t="s">
        <v>723</v>
      </c>
      <c r="B3" s="1">
        <v>53</v>
      </c>
      <c r="C3" s="1" t="s">
        <v>698</v>
      </c>
      <c r="D3" s="1" t="s">
        <v>698</v>
      </c>
      <c r="E3" s="1" t="s">
        <v>698</v>
      </c>
      <c r="F3" s="1" t="s">
        <v>698</v>
      </c>
      <c r="G3" s="1" t="s">
        <v>698</v>
      </c>
      <c r="H3" s="1" t="s">
        <v>698</v>
      </c>
      <c r="I3" s="1" t="s">
        <v>698</v>
      </c>
      <c r="J3" s="1">
        <f>SUBTOTAL(103,B3)</f>
        <v>1</v>
      </c>
      <c r="L3" s="1" t="s">
        <v>723</v>
      </c>
      <c r="M3" s="7">
        <v>1</v>
      </c>
      <c r="N3" s="70" t="s">
        <v>381</v>
      </c>
      <c r="O3" s="3" t="s">
        <v>496</v>
      </c>
      <c r="P3" s="3" t="s">
        <v>14</v>
      </c>
      <c r="Q3" s="3">
        <v>1</v>
      </c>
      <c r="R3" s="43">
        <f>VLOOKUP('53'!O3,Malzemeler!C:D,2,0)</f>
        <v>2394.46</v>
      </c>
      <c r="S3" s="43">
        <f>+R3*Q3</f>
        <v>2394.46</v>
      </c>
    </row>
    <row r="4" spans="1:19" x14ac:dyDescent="0.35">
      <c r="A4" s="104"/>
      <c r="B4" s="1">
        <v>53</v>
      </c>
      <c r="C4" s="1" t="s">
        <v>698</v>
      </c>
      <c r="D4" s="1" t="s">
        <v>698</v>
      </c>
      <c r="E4" s="1" t="s">
        <v>698</v>
      </c>
      <c r="F4" s="1" t="s">
        <v>698</v>
      </c>
      <c r="G4" s="1" t="s">
        <v>698</v>
      </c>
      <c r="H4" s="1" t="s">
        <v>698</v>
      </c>
      <c r="I4" s="1" t="s">
        <v>698</v>
      </c>
      <c r="J4" s="1">
        <f t="shared" ref="J4:J123" si="0">SUBTOTAL(103,B4)</f>
        <v>1</v>
      </c>
      <c r="L4" s="1" t="s">
        <v>723</v>
      </c>
      <c r="M4" s="7">
        <v>2</v>
      </c>
      <c r="N4" s="5" t="s">
        <v>205</v>
      </c>
      <c r="O4" s="3" t="s">
        <v>552</v>
      </c>
      <c r="P4" s="3" t="s">
        <v>14</v>
      </c>
      <c r="Q4" s="3">
        <v>1</v>
      </c>
      <c r="R4" s="43">
        <f>VLOOKUP('53'!O4,Malzemeler!C:D,2,0)</f>
        <v>45.916499999999999</v>
      </c>
      <c r="S4" s="43">
        <f t="shared" ref="S4:S66" si="1">+R4*Q4</f>
        <v>45.916499999999999</v>
      </c>
    </row>
    <row r="5" spans="1:19" x14ac:dyDescent="0.35">
      <c r="A5" s="104"/>
      <c r="B5" s="1">
        <v>53</v>
      </c>
      <c r="C5" s="1" t="s">
        <v>698</v>
      </c>
      <c r="D5" s="1" t="s">
        <v>698</v>
      </c>
      <c r="E5" s="1" t="s">
        <v>698</v>
      </c>
      <c r="F5" s="1" t="s">
        <v>698</v>
      </c>
      <c r="G5" s="1" t="s">
        <v>698</v>
      </c>
      <c r="H5" s="1" t="s">
        <v>698</v>
      </c>
      <c r="I5" s="1" t="s">
        <v>698</v>
      </c>
      <c r="J5" s="1">
        <f t="shared" si="0"/>
        <v>1</v>
      </c>
      <c r="L5" s="1" t="s">
        <v>723</v>
      </c>
      <c r="M5" s="7">
        <v>3</v>
      </c>
      <c r="N5" s="5" t="s">
        <v>382</v>
      </c>
      <c r="O5" s="3" t="s">
        <v>507</v>
      </c>
      <c r="P5" s="3" t="s">
        <v>14</v>
      </c>
      <c r="Q5" s="3">
        <v>1</v>
      </c>
      <c r="R5" s="43">
        <f>VLOOKUP('53'!O5,Malzemeler!C:D,2,0)</f>
        <v>18.8</v>
      </c>
      <c r="S5" s="43">
        <f t="shared" si="1"/>
        <v>18.8</v>
      </c>
    </row>
    <row r="6" spans="1:19" x14ac:dyDescent="0.35">
      <c r="A6" s="104"/>
      <c r="B6" s="1">
        <v>53</v>
      </c>
      <c r="C6" s="1" t="s">
        <v>698</v>
      </c>
      <c r="D6" s="1" t="s">
        <v>698</v>
      </c>
      <c r="E6" s="1" t="s">
        <v>698</v>
      </c>
      <c r="F6" s="1" t="s">
        <v>698</v>
      </c>
      <c r="G6" s="1" t="s">
        <v>698</v>
      </c>
      <c r="H6" s="1" t="s">
        <v>698</v>
      </c>
      <c r="I6" s="1" t="s">
        <v>698</v>
      </c>
      <c r="J6" s="1">
        <f t="shared" si="0"/>
        <v>1</v>
      </c>
      <c r="L6" s="1" t="s">
        <v>723</v>
      </c>
      <c r="M6" s="7">
        <v>4</v>
      </c>
      <c r="N6" s="5" t="s">
        <v>383</v>
      </c>
      <c r="O6" s="3" t="s">
        <v>513</v>
      </c>
      <c r="P6" s="3" t="s">
        <v>14</v>
      </c>
      <c r="Q6" s="3">
        <v>1</v>
      </c>
      <c r="R6" s="43">
        <f>VLOOKUP('53'!O6,Malzemeler!C:D,2,0)</f>
        <v>25.5</v>
      </c>
      <c r="S6" s="43">
        <f t="shared" si="1"/>
        <v>25.5</v>
      </c>
    </row>
    <row r="7" spans="1:19" x14ac:dyDescent="0.35">
      <c r="A7" s="104"/>
      <c r="B7" s="1">
        <v>53</v>
      </c>
      <c r="C7" s="1" t="s">
        <v>698</v>
      </c>
      <c r="D7" s="1" t="s">
        <v>698</v>
      </c>
      <c r="E7" s="1" t="s">
        <v>698</v>
      </c>
      <c r="F7" s="1" t="s">
        <v>698</v>
      </c>
      <c r="G7" s="1" t="s">
        <v>698</v>
      </c>
      <c r="H7" s="1" t="s">
        <v>698</v>
      </c>
      <c r="I7" s="1" t="s">
        <v>698</v>
      </c>
      <c r="J7" s="1">
        <f t="shared" si="0"/>
        <v>1</v>
      </c>
      <c r="L7" s="1" t="s">
        <v>723</v>
      </c>
      <c r="M7" s="7">
        <v>5</v>
      </c>
      <c r="N7" s="5" t="s">
        <v>362</v>
      </c>
      <c r="O7" s="3" t="s">
        <v>518</v>
      </c>
      <c r="P7" s="3" t="s">
        <v>14</v>
      </c>
      <c r="Q7" s="3">
        <v>1</v>
      </c>
      <c r="R7" s="43">
        <f>VLOOKUP('53'!O7,Malzemeler!C:D,2,0)</f>
        <v>26.2</v>
      </c>
      <c r="S7" s="43">
        <f t="shared" si="1"/>
        <v>26.2</v>
      </c>
    </row>
    <row r="8" spans="1:19" x14ac:dyDescent="0.35">
      <c r="A8" s="104"/>
      <c r="B8" s="1">
        <v>53</v>
      </c>
      <c r="C8" s="1" t="s">
        <v>698</v>
      </c>
      <c r="D8" s="1" t="s">
        <v>698</v>
      </c>
      <c r="E8" s="1" t="s">
        <v>698</v>
      </c>
      <c r="F8" s="1" t="s">
        <v>698</v>
      </c>
      <c r="G8" s="1" t="s">
        <v>698</v>
      </c>
      <c r="H8" s="1" t="s">
        <v>698</v>
      </c>
      <c r="I8" s="1" t="s">
        <v>698</v>
      </c>
      <c r="J8" s="1">
        <f t="shared" si="0"/>
        <v>1</v>
      </c>
      <c r="L8" s="1" t="s">
        <v>723</v>
      </c>
      <c r="M8" s="7">
        <v>6</v>
      </c>
      <c r="N8" s="5" t="s">
        <v>710</v>
      </c>
      <c r="O8" s="3" t="s">
        <v>711</v>
      </c>
      <c r="P8" s="3" t="s">
        <v>14</v>
      </c>
      <c r="Q8" s="3">
        <v>1</v>
      </c>
      <c r="R8" s="43">
        <f>VLOOKUP('53'!O8,Malzemeler!C:D,2,0)</f>
        <v>0</v>
      </c>
      <c r="S8" s="43">
        <f t="shared" si="1"/>
        <v>0</v>
      </c>
    </row>
    <row r="9" spans="1:19" x14ac:dyDescent="0.35">
      <c r="A9" s="104"/>
      <c r="B9" s="1">
        <v>53</v>
      </c>
      <c r="C9" s="1" t="s">
        <v>698</v>
      </c>
      <c r="D9" s="1" t="s">
        <v>698</v>
      </c>
      <c r="E9" s="1" t="s">
        <v>698</v>
      </c>
      <c r="F9" s="1" t="s">
        <v>698</v>
      </c>
      <c r="G9" s="1" t="s">
        <v>698</v>
      </c>
      <c r="H9" s="1" t="s">
        <v>698</v>
      </c>
      <c r="I9" s="1" t="s">
        <v>698</v>
      </c>
      <c r="J9" s="1">
        <f t="shared" si="0"/>
        <v>1</v>
      </c>
      <c r="L9" s="1" t="s">
        <v>723</v>
      </c>
      <c r="M9" s="7">
        <v>7</v>
      </c>
      <c r="N9" s="1" t="s">
        <v>278</v>
      </c>
      <c r="O9" s="3" t="s">
        <v>74</v>
      </c>
      <c r="P9" s="3" t="s">
        <v>14</v>
      </c>
      <c r="Q9" s="3">
        <v>3.1</v>
      </c>
      <c r="R9" s="43">
        <f>VLOOKUP('53'!O9,Malzemeler!C:D,2,0)</f>
        <v>16.149999999999999</v>
      </c>
      <c r="S9" s="43">
        <f t="shared" si="1"/>
        <v>50.064999999999998</v>
      </c>
    </row>
    <row r="10" spans="1:19" x14ac:dyDescent="0.35">
      <c r="A10" s="104"/>
      <c r="B10" s="1">
        <v>53</v>
      </c>
      <c r="C10" s="1" t="s">
        <v>698</v>
      </c>
      <c r="D10" s="1" t="s">
        <v>698</v>
      </c>
      <c r="E10" s="1" t="s">
        <v>698</v>
      </c>
      <c r="F10" s="1" t="s">
        <v>698</v>
      </c>
      <c r="G10" s="1" t="s">
        <v>698</v>
      </c>
      <c r="H10" s="1" t="s">
        <v>698</v>
      </c>
      <c r="I10" s="1" t="s">
        <v>698</v>
      </c>
      <c r="J10" s="1">
        <f t="shared" si="0"/>
        <v>1</v>
      </c>
      <c r="L10" s="1" t="s">
        <v>723</v>
      </c>
      <c r="M10" s="7">
        <v>8</v>
      </c>
      <c r="N10" s="1" t="s">
        <v>353</v>
      </c>
      <c r="O10" s="3" t="s">
        <v>354</v>
      </c>
      <c r="P10" s="3" t="s">
        <v>14</v>
      </c>
      <c r="Q10" s="3">
        <v>3.3</v>
      </c>
      <c r="R10" s="43">
        <f>VLOOKUP('53'!O10,Malzemeler!C:D,2,0)</f>
        <v>20.8</v>
      </c>
      <c r="S10" s="43">
        <f t="shared" si="1"/>
        <v>68.64</v>
      </c>
    </row>
    <row r="11" spans="1:19" x14ac:dyDescent="0.35">
      <c r="A11" s="104"/>
      <c r="B11" s="1">
        <v>53</v>
      </c>
      <c r="C11" s="1" t="s">
        <v>698</v>
      </c>
      <c r="D11" s="1" t="s">
        <v>698</v>
      </c>
      <c r="E11" s="1" t="s">
        <v>698</v>
      </c>
      <c r="F11" s="1" t="s">
        <v>698</v>
      </c>
      <c r="G11" s="1" t="s">
        <v>698</v>
      </c>
      <c r="H11" s="1" t="s">
        <v>698</v>
      </c>
      <c r="I11" s="1" t="s">
        <v>698</v>
      </c>
      <c r="J11" s="1">
        <f t="shared" si="0"/>
        <v>1</v>
      </c>
      <c r="L11" s="1" t="s">
        <v>723</v>
      </c>
      <c r="M11" s="7">
        <v>9</v>
      </c>
      <c r="N11" s="1" t="s">
        <v>398</v>
      </c>
      <c r="O11" s="3" t="s">
        <v>399</v>
      </c>
      <c r="P11" s="3" t="s">
        <v>14</v>
      </c>
      <c r="Q11" s="3">
        <v>3.1</v>
      </c>
      <c r="R11" s="43">
        <f>VLOOKUP('53'!O11,Malzemeler!C:D,2,0)</f>
        <v>26.5</v>
      </c>
      <c r="S11" s="43">
        <f t="shared" si="1"/>
        <v>82.15</v>
      </c>
    </row>
    <row r="12" spans="1:19" x14ac:dyDescent="0.35">
      <c r="A12" s="104"/>
      <c r="B12" s="1">
        <v>53</v>
      </c>
      <c r="C12" s="1" t="s">
        <v>698</v>
      </c>
      <c r="D12" s="1" t="s">
        <v>698</v>
      </c>
      <c r="E12" s="1" t="s">
        <v>698</v>
      </c>
      <c r="F12" s="1" t="s">
        <v>698</v>
      </c>
      <c r="G12" s="1" t="s">
        <v>698</v>
      </c>
      <c r="H12" s="1" t="s">
        <v>698</v>
      </c>
      <c r="I12" s="1" t="s">
        <v>698</v>
      </c>
      <c r="J12" s="1">
        <f t="shared" si="0"/>
        <v>1</v>
      </c>
      <c r="L12" s="1" t="s">
        <v>723</v>
      </c>
      <c r="M12" s="7">
        <v>10</v>
      </c>
      <c r="N12" s="1" t="s">
        <v>400</v>
      </c>
      <c r="O12" s="3" t="s">
        <v>200</v>
      </c>
      <c r="P12" s="3" t="s">
        <v>14</v>
      </c>
      <c r="Q12" s="3">
        <v>4</v>
      </c>
      <c r="R12" s="43">
        <f>VLOOKUP('53'!O12,Malzemeler!C:D,2,0)</f>
        <v>0.8</v>
      </c>
      <c r="S12" s="43">
        <f t="shared" si="1"/>
        <v>3.2</v>
      </c>
    </row>
    <row r="13" spans="1:19" x14ac:dyDescent="0.35">
      <c r="A13" s="104"/>
      <c r="B13" s="1">
        <v>53</v>
      </c>
      <c r="C13" s="1" t="s">
        <v>698</v>
      </c>
      <c r="D13" s="1" t="s">
        <v>698</v>
      </c>
      <c r="E13" s="1" t="s">
        <v>698</v>
      </c>
      <c r="F13" s="1" t="s">
        <v>698</v>
      </c>
      <c r="G13" s="1" t="s">
        <v>698</v>
      </c>
      <c r="H13" s="1" t="s">
        <v>698</v>
      </c>
      <c r="I13" s="1" t="s">
        <v>698</v>
      </c>
      <c r="J13" s="1">
        <f t="shared" si="0"/>
        <v>1</v>
      </c>
      <c r="L13" s="1" t="s">
        <v>723</v>
      </c>
      <c r="M13" s="7">
        <v>11</v>
      </c>
      <c r="N13" s="1" t="s">
        <v>401</v>
      </c>
      <c r="O13" s="3" t="s">
        <v>282</v>
      </c>
      <c r="P13" s="3" t="s">
        <v>14</v>
      </c>
      <c r="Q13" s="3">
        <v>2</v>
      </c>
      <c r="R13" s="43">
        <f>VLOOKUP('53'!O13,Malzemeler!C:D,2,0)</f>
        <v>0.95</v>
      </c>
      <c r="S13" s="43">
        <f t="shared" si="1"/>
        <v>1.9</v>
      </c>
    </row>
    <row r="14" spans="1:19" x14ac:dyDescent="0.35">
      <c r="A14" s="104"/>
      <c r="B14" s="1">
        <v>53</v>
      </c>
      <c r="C14" s="1" t="s">
        <v>698</v>
      </c>
      <c r="D14" s="1" t="s">
        <v>698</v>
      </c>
      <c r="E14" s="1" t="s">
        <v>698</v>
      </c>
      <c r="F14" s="1" t="s">
        <v>698</v>
      </c>
      <c r="G14" s="1" t="s">
        <v>698</v>
      </c>
      <c r="H14" s="1" t="s">
        <v>698</v>
      </c>
      <c r="I14" s="1" t="s">
        <v>698</v>
      </c>
      <c r="J14" s="1">
        <f t="shared" si="0"/>
        <v>1</v>
      </c>
      <c r="L14" s="1" t="s">
        <v>723</v>
      </c>
      <c r="M14" s="7">
        <v>12</v>
      </c>
      <c r="N14" s="1" t="s">
        <v>402</v>
      </c>
      <c r="O14" s="3" t="s">
        <v>403</v>
      </c>
      <c r="P14" s="3" t="s">
        <v>135</v>
      </c>
      <c r="Q14" s="3">
        <v>6</v>
      </c>
      <c r="R14" s="43">
        <f>VLOOKUP('53'!O14,Malzemeler!C:D,2,0)</f>
        <v>1.6E-2</v>
      </c>
      <c r="S14" s="43">
        <f t="shared" si="1"/>
        <v>9.6000000000000002E-2</v>
      </c>
    </row>
    <row r="15" spans="1:19" x14ac:dyDescent="0.35">
      <c r="A15" s="104"/>
      <c r="B15" s="1">
        <v>53</v>
      </c>
      <c r="C15" s="1" t="s">
        <v>698</v>
      </c>
      <c r="D15" s="1" t="s">
        <v>698</v>
      </c>
      <c r="E15" s="1" t="s">
        <v>698</v>
      </c>
      <c r="F15" s="1" t="s">
        <v>698</v>
      </c>
      <c r="G15" s="1" t="s">
        <v>698</v>
      </c>
      <c r="H15" s="1" t="s">
        <v>698</v>
      </c>
      <c r="I15" s="1" t="s">
        <v>698</v>
      </c>
      <c r="J15" s="1">
        <f t="shared" si="0"/>
        <v>1</v>
      </c>
      <c r="L15" s="1" t="s">
        <v>723</v>
      </c>
      <c r="M15" s="7">
        <v>13</v>
      </c>
      <c r="N15" s="5" t="s">
        <v>87</v>
      </c>
      <c r="O15" s="3" t="s">
        <v>88</v>
      </c>
      <c r="P15" s="3" t="s">
        <v>14</v>
      </c>
      <c r="Q15" s="3">
        <v>0.3</v>
      </c>
      <c r="R15" s="43">
        <f>VLOOKUP('53'!O15,Malzemeler!C:D,2,0)</f>
        <v>1615.6</v>
      </c>
      <c r="S15" s="43">
        <f t="shared" si="1"/>
        <v>484.67999999999995</v>
      </c>
    </row>
    <row r="16" spans="1:19" x14ac:dyDescent="0.35">
      <c r="A16" s="104"/>
      <c r="B16" s="1">
        <v>53</v>
      </c>
      <c r="C16" s="1" t="s">
        <v>698</v>
      </c>
      <c r="D16" s="1" t="s">
        <v>698</v>
      </c>
      <c r="E16" s="1" t="s">
        <v>698</v>
      </c>
      <c r="F16" s="1" t="s">
        <v>698</v>
      </c>
      <c r="G16" s="1" t="s">
        <v>698</v>
      </c>
      <c r="H16" s="1" t="s">
        <v>698</v>
      </c>
      <c r="I16" s="1" t="s">
        <v>698</v>
      </c>
      <c r="J16" s="1">
        <f t="shared" si="0"/>
        <v>1</v>
      </c>
      <c r="L16" s="1" t="s">
        <v>723</v>
      </c>
      <c r="M16" s="7">
        <v>14</v>
      </c>
      <c r="N16" s="5" t="s">
        <v>69</v>
      </c>
      <c r="O16" s="3" t="s">
        <v>81</v>
      </c>
      <c r="P16" s="3" t="s">
        <v>14</v>
      </c>
      <c r="Q16" s="3">
        <v>0.45</v>
      </c>
      <c r="R16" s="43">
        <f>VLOOKUP('53'!O16,Malzemeler!C:D,2,0)</f>
        <v>40</v>
      </c>
      <c r="S16" s="43">
        <f t="shared" si="1"/>
        <v>18</v>
      </c>
    </row>
    <row r="17" spans="1:19" x14ac:dyDescent="0.35">
      <c r="A17" s="104"/>
      <c r="B17" s="1">
        <v>53</v>
      </c>
      <c r="C17" s="1" t="s">
        <v>698</v>
      </c>
      <c r="D17" s="1" t="s">
        <v>698</v>
      </c>
      <c r="E17" s="1" t="s">
        <v>698</v>
      </c>
      <c r="F17" s="1" t="s">
        <v>698</v>
      </c>
      <c r="G17" s="1" t="s">
        <v>698</v>
      </c>
      <c r="H17" s="1" t="s">
        <v>698</v>
      </c>
      <c r="I17" s="1" t="s">
        <v>698</v>
      </c>
      <c r="J17" s="1">
        <f t="shared" si="0"/>
        <v>1</v>
      </c>
      <c r="L17" s="1" t="s">
        <v>723</v>
      </c>
      <c r="M17" s="7">
        <v>15</v>
      </c>
      <c r="N17" s="5" t="s">
        <v>89</v>
      </c>
      <c r="O17" s="3" t="s">
        <v>75</v>
      </c>
      <c r="P17" s="3" t="s">
        <v>14</v>
      </c>
      <c r="Q17" s="3">
        <v>0.2</v>
      </c>
      <c r="R17" s="43">
        <f>VLOOKUP('53'!O17,Malzemeler!C:D,2,0)</f>
        <v>150</v>
      </c>
      <c r="S17" s="43">
        <f t="shared" si="1"/>
        <v>30</v>
      </c>
    </row>
    <row r="18" spans="1:19" x14ac:dyDescent="0.35">
      <c r="A18" s="104"/>
      <c r="B18" s="1">
        <v>53</v>
      </c>
      <c r="C18" s="1" t="s">
        <v>698</v>
      </c>
      <c r="D18" s="1" t="s">
        <v>698</v>
      </c>
      <c r="E18" s="1" t="s">
        <v>698</v>
      </c>
      <c r="F18" s="1" t="s">
        <v>698</v>
      </c>
      <c r="G18" s="1" t="s">
        <v>698</v>
      </c>
      <c r="H18" s="1" t="s">
        <v>698</v>
      </c>
      <c r="I18" s="1" t="s">
        <v>698</v>
      </c>
      <c r="J18" s="1">
        <f t="shared" si="0"/>
        <v>1</v>
      </c>
      <c r="L18" s="1" t="s">
        <v>723</v>
      </c>
      <c r="M18" s="7">
        <v>16</v>
      </c>
      <c r="N18" s="5" t="s">
        <v>66</v>
      </c>
      <c r="O18" s="3" t="s">
        <v>78</v>
      </c>
      <c r="P18" s="3" t="s">
        <v>14</v>
      </c>
      <c r="Q18" s="3">
        <v>0.8</v>
      </c>
      <c r="R18" s="43">
        <f>VLOOKUP('53'!O18,Malzemeler!C:D,2,0)</f>
        <v>30</v>
      </c>
      <c r="S18" s="43">
        <f t="shared" si="1"/>
        <v>24</v>
      </c>
    </row>
    <row r="19" spans="1:19" x14ac:dyDescent="0.35">
      <c r="A19" s="104"/>
      <c r="B19" s="1">
        <v>53</v>
      </c>
      <c r="C19" s="1" t="s">
        <v>698</v>
      </c>
      <c r="D19" s="1" t="s">
        <v>698</v>
      </c>
      <c r="E19" s="1" t="s">
        <v>698</v>
      </c>
      <c r="F19" s="1" t="s">
        <v>698</v>
      </c>
      <c r="G19" s="1" t="s">
        <v>698</v>
      </c>
      <c r="H19" s="1" t="s">
        <v>698</v>
      </c>
      <c r="I19" s="1" t="s">
        <v>698</v>
      </c>
      <c r="J19" s="1">
        <f t="shared" si="0"/>
        <v>1</v>
      </c>
      <c r="L19" s="1" t="s">
        <v>723</v>
      </c>
      <c r="M19" s="7">
        <v>17</v>
      </c>
      <c r="N19" s="5" t="s">
        <v>65</v>
      </c>
      <c r="O19" s="3" t="s">
        <v>77</v>
      </c>
      <c r="P19" s="3" t="s">
        <v>14</v>
      </c>
      <c r="Q19" s="3">
        <v>6</v>
      </c>
      <c r="R19" s="43">
        <f>VLOOKUP('53'!O19,Malzemeler!C:D,2,0)</f>
        <v>150</v>
      </c>
      <c r="S19" s="43">
        <f t="shared" si="1"/>
        <v>900</v>
      </c>
    </row>
    <row r="20" spans="1:19" x14ac:dyDescent="0.35">
      <c r="A20" s="104"/>
      <c r="B20" s="1">
        <v>53</v>
      </c>
      <c r="C20" s="1" t="s">
        <v>698</v>
      </c>
      <c r="D20" s="1" t="s">
        <v>698</v>
      </c>
      <c r="E20" s="1" t="s">
        <v>698</v>
      </c>
      <c r="F20" s="1" t="s">
        <v>698</v>
      </c>
      <c r="G20" s="1" t="s">
        <v>698</v>
      </c>
      <c r="H20" s="1" t="s">
        <v>698</v>
      </c>
      <c r="I20" s="1" t="s">
        <v>698</v>
      </c>
      <c r="J20" s="1">
        <f t="shared" si="0"/>
        <v>1</v>
      </c>
      <c r="L20" s="1" t="s">
        <v>723</v>
      </c>
      <c r="M20" s="7">
        <v>18</v>
      </c>
      <c r="N20" s="5" t="s">
        <v>390</v>
      </c>
      <c r="O20" s="3" t="s">
        <v>391</v>
      </c>
      <c r="P20" s="3" t="s">
        <v>14</v>
      </c>
      <c r="Q20" s="3">
        <v>2</v>
      </c>
      <c r="R20" s="43">
        <f>VLOOKUP('53'!O20,Malzemeler!C:D,2,0)</f>
        <v>778.9</v>
      </c>
      <c r="S20" s="43">
        <f t="shared" si="1"/>
        <v>1557.8</v>
      </c>
    </row>
    <row r="21" spans="1:19" x14ac:dyDescent="0.35">
      <c r="A21" s="104"/>
      <c r="B21" s="1">
        <v>53</v>
      </c>
      <c r="C21" s="1" t="s">
        <v>698</v>
      </c>
      <c r="D21" s="1" t="s">
        <v>698</v>
      </c>
      <c r="E21" s="1" t="s">
        <v>698</v>
      </c>
      <c r="F21" s="1" t="s">
        <v>698</v>
      </c>
      <c r="G21" s="1" t="s">
        <v>698</v>
      </c>
      <c r="H21" s="1" t="s">
        <v>698</v>
      </c>
      <c r="I21" s="1" t="s">
        <v>698</v>
      </c>
      <c r="J21" s="1">
        <f t="shared" si="0"/>
        <v>1</v>
      </c>
      <c r="L21" s="1" t="s">
        <v>723</v>
      </c>
      <c r="M21" s="7">
        <v>19</v>
      </c>
      <c r="N21" s="5" t="s">
        <v>390</v>
      </c>
      <c r="O21" s="3" t="s">
        <v>391</v>
      </c>
      <c r="P21" s="3" t="s">
        <v>14</v>
      </c>
      <c r="Q21" s="3">
        <v>2</v>
      </c>
      <c r="R21" s="43">
        <f>VLOOKUP('53'!O21,Malzemeler!C:D,2,0)</f>
        <v>778.9</v>
      </c>
      <c r="S21" s="43">
        <f t="shared" si="1"/>
        <v>1557.8</v>
      </c>
    </row>
    <row r="22" spans="1:19" x14ac:dyDescent="0.35">
      <c r="A22" s="104"/>
      <c r="B22" s="1">
        <v>53</v>
      </c>
      <c r="C22" s="1" t="s">
        <v>698</v>
      </c>
      <c r="D22" s="1" t="s">
        <v>698</v>
      </c>
      <c r="E22" s="1" t="s">
        <v>698</v>
      </c>
      <c r="F22" s="1" t="s">
        <v>698</v>
      </c>
      <c r="G22" s="1" t="s">
        <v>698</v>
      </c>
      <c r="H22" s="1" t="s">
        <v>698</v>
      </c>
      <c r="I22" s="1" t="s">
        <v>698</v>
      </c>
      <c r="J22" s="1">
        <f t="shared" si="0"/>
        <v>1</v>
      </c>
      <c r="L22" s="1" t="s">
        <v>723</v>
      </c>
      <c r="M22" s="7">
        <v>20</v>
      </c>
      <c r="N22" s="5" t="s">
        <v>384</v>
      </c>
      <c r="O22" s="3" t="s">
        <v>385</v>
      </c>
      <c r="P22" s="3" t="s">
        <v>14</v>
      </c>
      <c r="Q22" s="3">
        <v>1</v>
      </c>
      <c r="R22" s="43">
        <f>VLOOKUP('53'!O22,Malzemeler!C:D,2,0)</f>
        <v>1882.88</v>
      </c>
      <c r="S22" s="43">
        <f t="shared" si="1"/>
        <v>1882.88</v>
      </c>
    </row>
    <row r="23" spans="1:19" x14ac:dyDescent="0.35">
      <c r="A23" s="104"/>
      <c r="B23" s="1">
        <v>53</v>
      </c>
      <c r="C23" s="1" t="s">
        <v>572</v>
      </c>
      <c r="D23" s="1" t="s">
        <v>698</v>
      </c>
      <c r="E23" s="1" t="s">
        <v>698</v>
      </c>
      <c r="F23" s="1" t="s">
        <v>698</v>
      </c>
      <c r="G23" s="1" t="s">
        <v>698</v>
      </c>
      <c r="H23" s="1" t="s">
        <v>698</v>
      </c>
      <c r="I23" s="1" t="s">
        <v>698</v>
      </c>
      <c r="J23" s="1">
        <f t="shared" si="0"/>
        <v>1</v>
      </c>
      <c r="L23" s="1" t="s">
        <v>748</v>
      </c>
      <c r="M23" s="7">
        <v>21</v>
      </c>
      <c r="N23" s="1" t="s">
        <v>563</v>
      </c>
      <c r="O23" s="3" t="s">
        <v>192</v>
      </c>
      <c r="P23" s="3" t="s">
        <v>14</v>
      </c>
      <c r="Q23" s="3">
        <v>1</v>
      </c>
      <c r="R23" s="43">
        <f>VLOOKUP('53'!O23,Malzemeler!C:D,2,0)</f>
        <v>410</v>
      </c>
      <c r="S23" s="43">
        <f t="shared" si="1"/>
        <v>410</v>
      </c>
    </row>
    <row r="24" spans="1:19" x14ac:dyDescent="0.35">
      <c r="A24" s="104"/>
      <c r="B24" s="1">
        <v>53</v>
      </c>
      <c r="C24" s="1" t="s">
        <v>572</v>
      </c>
      <c r="D24" s="1" t="s">
        <v>698</v>
      </c>
      <c r="E24" s="1" t="s">
        <v>698</v>
      </c>
      <c r="F24" s="1" t="s">
        <v>698</v>
      </c>
      <c r="G24" s="1" t="s">
        <v>698</v>
      </c>
      <c r="H24" s="1" t="s">
        <v>698</v>
      </c>
      <c r="I24" s="1" t="s">
        <v>698</v>
      </c>
      <c r="J24" s="1">
        <f t="shared" si="0"/>
        <v>1</v>
      </c>
      <c r="L24" s="1" t="s">
        <v>748</v>
      </c>
      <c r="M24" s="7">
        <v>22</v>
      </c>
      <c r="N24" s="5" t="s">
        <v>386</v>
      </c>
      <c r="O24" s="3" t="s">
        <v>526</v>
      </c>
      <c r="P24" s="3" t="s">
        <v>14</v>
      </c>
      <c r="Q24" s="3">
        <v>1</v>
      </c>
      <c r="R24" s="43">
        <f>VLOOKUP('53'!O24,Malzemeler!C:D,2,0)</f>
        <v>1665</v>
      </c>
      <c r="S24" s="43">
        <f t="shared" si="1"/>
        <v>1665</v>
      </c>
    </row>
    <row r="25" spans="1:19" x14ac:dyDescent="0.35">
      <c r="A25" s="104"/>
      <c r="B25" s="1">
        <v>53</v>
      </c>
      <c r="C25" s="1" t="s">
        <v>572</v>
      </c>
      <c r="D25" s="1" t="s">
        <v>698</v>
      </c>
      <c r="E25" s="1" t="s">
        <v>698</v>
      </c>
      <c r="F25" s="1" t="s">
        <v>698</v>
      </c>
      <c r="G25" s="1" t="s">
        <v>698</v>
      </c>
      <c r="H25" s="1" t="s">
        <v>698</v>
      </c>
      <c r="I25" s="1" t="s">
        <v>698</v>
      </c>
      <c r="J25" s="1">
        <f t="shared" si="0"/>
        <v>1</v>
      </c>
      <c r="L25" s="1" t="s">
        <v>748</v>
      </c>
      <c r="M25" s="7">
        <v>23</v>
      </c>
      <c r="N25" s="5" t="s">
        <v>387</v>
      </c>
      <c r="O25" s="3" t="s">
        <v>535</v>
      </c>
      <c r="P25" s="3" t="s">
        <v>14</v>
      </c>
      <c r="Q25" s="3">
        <v>1</v>
      </c>
      <c r="R25" s="43">
        <f>VLOOKUP('53'!O25,Malzemeler!C:D,2,0)</f>
        <v>1015</v>
      </c>
      <c r="S25" s="43">
        <f t="shared" si="1"/>
        <v>1015</v>
      </c>
    </row>
    <row r="26" spans="1:19" x14ac:dyDescent="0.35">
      <c r="A26" s="104"/>
      <c r="B26" s="1">
        <v>53</v>
      </c>
      <c r="C26" s="1" t="s">
        <v>573</v>
      </c>
      <c r="D26" s="1" t="s">
        <v>698</v>
      </c>
      <c r="E26" s="1" t="s">
        <v>698</v>
      </c>
      <c r="F26" s="1" t="s">
        <v>698</v>
      </c>
      <c r="G26" s="1" t="s">
        <v>698</v>
      </c>
      <c r="H26" s="1" t="s">
        <v>698</v>
      </c>
      <c r="I26" s="1" t="s">
        <v>698</v>
      </c>
      <c r="J26" s="1">
        <f t="shared" si="0"/>
        <v>1</v>
      </c>
      <c r="L26" s="1" t="s">
        <v>749</v>
      </c>
      <c r="M26" s="31">
        <v>21</v>
      </c>
      <c r="N26" s="28" t="s">
        <v>563</v>
      </c>
      <c r="O26" s="29" t="str">
        <f>VLOOKUP(N26,Malzemeler!B:C,2,)</f>
        <v>-</v>
      </c>
      <c r="P26" s="29" t="s">
        <v>14</v>
      </c>
      <c r="Q26" s="29">
        <v>1</v>
      </c>
      <c r="R26" s="43">
        <f>VLOOKUP('53'!O26,Malzemeler!C:D,2,0)</f>
        <v>410</v>
      </c>
      <c r="S26" s="43">
        <f t="shared" si="1"/>
        <v>410</v>
      </c>
    </row>
    <row r="27" spans="1:19" x14ac:dyDescent="0.35">
      <c r="A27" s="104"/>
      <c r="B27" s="1">
        <v>53</v>
      </c>
      <c r="C27" s="1" t="s">
        <v>573</v>
      </c>
      <c r="D27" s="1" t="s">
        <v>698</v>
      </c>
      <c r="E27" s="1" t="s">
        <v>698</v>
      </c>
      <c r="F27" s="1" t="s">
        <v>698</v>
      </c>
      <c r="G27" s="1" t="s">
        <v>698</v>
      </c>
      <c r="H27" s="1" t="s">
        <v>698</v>
      </c>
      <c r="I27" s="1" t="s">
        <v>698</v>
      </c>
      <c r="J27" s="1">
        <v>1</v>
      </c>
      <c r="L27" s="1" t="s">
        <v>749</v>
      </c>
      <c r="M27" s="31">
        <v>22</v>
      </c>
      <c r="N27" s="66" t="s">
        <v>386</v>
      </c>
      <c r="O27" s="29" t="str">
        <f>VLOOKUP(N27,Malzemeler!B:C,2,)</f>
        <v>R062522383236</v>
      </c>
      <c r="P27" s="29" t="s">
        <v>14</v>
      </c>
      <c r="Q27" s="29">
        <v>1</v>
      </c>
      <c r="R27" s="43">
        <f>VLOOKUP('53'!O27,Malzemeler!C:D,2,0)</f>
        <v>1665</v>
      </c>
      <c r="S27" s="43">
        <f t="shared" si="1"/>
        <v>1665</v>
      </c>
    </row>
    <row r="28" spans="1:19" x14ac:dyDescent="0.35">
      <c r="A28" s="104"/>
      <c r="B28" s="1">
        <v>53</v>
      </c>
      <c r="C28" s="1" t="s">
        <v>573</v>
      </c>
      <c r="D28" s="1" t="s">
        <v>698</v>
      </c>
      <c r="E28" s="1" t="s">
        <v>698</v>
      </c>
      <c r="F28" s="1" t="s">
        <v>698</v>
      </c>
      <c r="G28" s="1" t="s">
        <v>698</v>
      </c>
      <c r="H28" s="1" t="s">
        <v>698</v>
      </c>
      <c r="I28" s="1" t="s">
        <v>698</v>
      </c>
      <c r="J28" s="1">
        <v>1</v>
      </c>
      <c r="L28" s="1" t="s">
        <v>749</v>
      </c>
      <c r="M28" s="31">
        <v>23</v>
      </c>
      <c r="N28" s="66" t="s">
        <v>387</v>
      </c>
      <c r="O28" s="29" t="str">
        <f>VLOOKUP(N28,Malzemeler!B:C,2,)</f>
        <v>R063228122481</v>
      </c>
      <c r="P28" s="29" t="s">
        <v>14</v>
      </c>
      <c r="Q28" s="29">
        <v>1</v>
      </c>
      <c r="R28" s="43">
        <f>VLOOKUP('53'!O28,Malzemeler!C:D,2,0)</f>
        <v>1015</v>
      </c>
      <c r="S28" s="43">
        <f t="shared" si="1"/>
        <v>1015</v>
      </c>
    </row>
    <row r="29" spans="1:19" x14ac:dyDescent="0.35">
      <c r="A29" s="104"/>
      <c r="B29" s="1">
        <v>53</v>
      </c>
      <c r="C29" s="1" t="s">
        <v>698</v>
      </c>
      <c r="D29" s="1" t="s">
        <v>698</v>
      </c>
      <c r="E29" s="1" t="s">
        <v>698</v>
      </c>
      <c r="F29" s="1" t="s">
        <v>698</v>
      </c>
      <c r="G29" s="1" t="s">
        <v>698</v>
      </c>
      <c r="H29" s="1" t="s">
        <v>698</v>
      </c>
      <c r="I29" s="1" t="s">
        <v>698</v>
      </c>
      <c r="J29" s="1">
        <f t="shared" ref="J29:J38" si="2">SUBTOTAL(103,B29)</f>
        <v>1</v>
      </c>
      <c r="L29" s="1" t="s">
        <v>723</v>
      </c>
      <c r="M29" s="7">
        <v>24</v>
      </c>
      <c r="N29" s="5" t="s">
        <v>633</v>
      </c>
      <c r="O29" s="3" t="s">
        <v>633</v>
      </c>
      <c r="P29" s="3" t="s">
        <v>14</v>
      </c>
      <c r="Q29" s="3">
        <v>16</v>
      </c>
      <c r="R29" s="43">
        <f>VLOOKUP('53'!O29,Malzemeler!C:D,2,0)</f>
        <v>0</v>
      </c>
      <c r="S29" s="43">
        <f t="shared" si="1"/>
        <v>0</v>
      </c>
    </row>
    <row r="30" spans="1:19" x14ac:dyDescent="0.35">
      <c r="A30" s="104"/>
      <c r="B30" s="1">
        <v>53</v>
      </c>
      <c r="C30" s="1" t="s">
        <v>698</v>
      </c>
      <c r="D30" s="1" t="s">
        <v>698</v>
      </c>
      <c r="E30" s="1" t="s">
        <v>698</v>
      </c>
      <c r="F30" s="1" t="s">
        <v>698</v>
      </c>
      <c r="G30" s="1" t="s">
        <v>698</v>
      </c>
      <c r="H30" s="1" t="s">
        <v>698</v>
      </c>
      <c r="I30" s="1" t="s">
        <v>698</v>
      </c>
      <c r="J30" s="1">
        <f t="shared" si="2"/>
        <v>1</v>
      </c>
      <c r="L30" s="1" t="s">
        <v>723</v>
      </c>
      <c r="M30" s="7">
        <v>25</v>
      </c>
      <c r="N30" s="5" t="s">
        <v>634</v>
      </c>
      <c r="O30" s="3" t="s">
        <v>634</v>
      </c>
      <c r="P30" s="3" t="s">
        <v>14</v>
      </c>
      <c r="Q30" s="3">
        <v>40</v>
      </c>
      <c r="R30" s="43">
        <f>VLOOKUP('53'!O30,Malzemeler!C:D,2,0)</f>
        <v>0</v>
      </c>
      <c r="S30" s="43">
        <f t="shared" si="1"/>
        <v>0</v>
      </c>
    </row>
    <row r="31" spans="1:19" x14ac:dyDescent="0.35">
      <c r="A31" s="104"/>
      <c r="B31" s="1">
        <v>53</v>
      </c>
      <c r="C31" s="1" t="s">
        <v>698</v>
      </c>
      <c r="D31" s="1" t="s">
        <v>698</v>
      </c>
      <c r="E31" s="1" t="s">
        <v>698</v>
      </c>
      <c r="F31" s="1" t="s">
        <v>698</v>
      </c>
      <c r="G31" s="1" t="s">
        <v>698</v>
      </c>
      <c r="H31" s="1" t="s">
        <v>698</v>
      </c>
      <c r="I31" s="1" t="s">
        <v>698</v>
      </c>
      <c r="J31" s="1">
        <f t="shared" si="2"/>
        <v>1</v>
      </c>
      <c r="L31" s="1" t="s">
        <v>723</v>
      </c>
      <c r="M31" s="7">
        <v>26</v>
      </c>
      <c r="N31" s="5" t="s">
        <v>635</v>
      </c>
      <c r="O31" s="3" t="s">
        <v>635</v>
      </c>
      <c r="P31" s="3" t="s">
        <v>14</v>
      </c>
      <c r="Q31" s="3">
        <v>27</v>
      </c>
      <c r="R31" s="43">
        <f>VLOOKUP('53'!O31,Malzemeler!C:D,2,0)</f>
        <v>0</v>
      </c>
      <c r="S31" s="43">
        <f t="shared" si="1"/>
        <v>0</v>
      </c>
    </row>
    <row r="32" spans="1:19" x14ac:dyDescent="0.35">
      <c r="A32" s="104"/>
      <c r="B32" s="1">
        <v>53</v>
      </c>
      <c r="C32" s="1" t="s">
        <v>698</v>
      </c>
      <c r="D32" s="1" t="s">
        <v>698</v>
      </c>
      <c r="E32" s="1" t="s">
        <v>698</v>
      </c>
      <c r="F32" s="1" t="s">
        <v>698</v>
      </c>
      <c r="G32" s="1" t="s">
        <v>698</v>
      </c>
      <c r="H32" s="1" t="s">
        <v>698</v>
      </c>
      <c r="I32" s="1" t="s">
        <v>698</v>
      </c>
      <c r="J32" s="1">
        <f t="shared" si="2"/>
        <v>1</v>
      </c>
      <c r="L32" s="1" t="s">
        <v>723</v>
      </c>
      <c r="M32" s="7">
        <v>27</v>
      </c>
      <c r="N32" s="5" t="s">
        <v>636</v>
      </c>
      <c r="O32" s="3" t="s">
        <v>636</v>
      </c>
      <c r="P32" s="3" t="s">
        <v>14</v>
      </c>
      <c r="Q32" s="3">
        <v>16</v>
      </c>
      <c r="R32" s="43">
        <f>VLOOKUP('53'!O32,Malzemeler!C:D,2,0)</f>
        <v>0</v>
      </c>
      <c r="S32" s="43">
        <f t="shared" si="1"/>
        <v>0</v>
      </c>
    </row>
    <row r="33" spans="1:19" x14ac:dyDescent="0.35">
      <c r="A33" s="104"/>
      <c r="B33" s="1">
        <v>53</v>
      </c>
      <c r="C33" s="1" t="s">
        <v>698</v>
      </c>
      <c r="D33" s="1" t="s">
        <v>698</v>
      </c>
      <c r="E33" s="1" t="s">
        <v>698</v>
      </c>
      <c r="F33" s="1" t="s">
        <v>698</v>
      </c>
      <c r="G33" s="1" t="s">
        <v>698</v>
      </c>
      <c r="H33" s="1" t="s">
        <v>698</v>
      </c>
      <c r="I33" s="1" t="s">
        <v>698</v>
      </c>
      <c r="J33" s="1">
        <f t="shared" si="2"/>
        <v>1</v>
      </c>
      <c r="L33" s="1" t="s">
        <v>723</v>
      </c>
      <c r="M33" s="7">
        <v>28</v>
      </c>
      <c r="N33" s="5" t="s">
        <v>221</v>
      </c>
      <c r="O33" s="3" t="s">
        <v>222</v>
      </c>
      <c r="P33" s="3" t="s">
        <v>14</v>
      </c>
      <c r="Q33" s="3">
        <v>1043.6979999999999</v>
      </c>
      <c r="R33" s="43">
        <f>VLOOKUP('53'!O33,Malzemeler!C:D,2,0)</f>
        <v>1.07</v>
      </c>
      <c r="S33" s="43">
        <f t="shared" si="1"/>
        <v>1116.75686</v>
      </c>
    </row>
    <row r="34" spans="1:19" x14ac:dyDescent="0.35">
      <c r="A34" s="104"/>
      <c r="B34" s="1">
        <v>53</v>
      </c>
      <c r="C34" s="1" t="s">
        <v>698</v>
      </c>
      <c r="D34" s="1" t="s">
        <v>698</v>
      </c>
      <c r="E34" s="1" t="s">
        <v>698</v>
      </c>
      <c r="F34" s="1" t="s">
        <v>698</v>
      </c>
      <c r="G34" s="1" t="s">
        <v>698</v>
      </c>
      <c r="H34" s="1" t="s">
        <v>698</v>
      </c>
      <c r="I34" s="1" t="s">
        <v>698</v>
      </c>
      <c r="J34" s="1">
        <f t="shared" si="2"/>
        <v>1</v>
      </c>
      <c r="L34" s="1" t="s">
        <v>723</v>
      </c>
      <c r="M34" s="7">
        <v>29</v>
      </c>
      <c r="N34" s="5" t="s">
        <v>637</v>
      </c>
      <c r="O34" s="3" t="s">
        <v>655</v>
      </c>
      <c r="P34" s="3" t="s">
        <v>14</v>
      </c>
      <c r="Q34" s="3">
        <v>9.3159999999999989</v>
      </c>
      <c r="R34" s="43">
        <f>VLOOKUP('53'!O34,Malzemeler!C:D,2,0)</f>
        <v>0</v>
      </c>
      <c r="S34" s="43">
        <f t="shared" si="1"/>
        <v>0</v>
      </c>
    </row>
    <row r="35" spans="1:19" x14ac:dyDescent="0.35">
      <c r="A35" s="104"/>
      <c r="B35" s="1">
        <v>53</v>
      </c>
      <c r="C35" s="1" t="s">
        <v>698</v>
      </c>
      <c r="D35" s="1" t="s">
        <v>698</v>
      </c>
      <c r="E35" s="1" t="s">
        <v>698</v>
      </c>
      <c r="F35" s="1" t="s">
        <v>698</v>
      </c>
      <c r="G35" s="1" t="s">
        <v>698</v>
      </c>
      <c r="H35" s="1" t="s">
        <v>698</v>
      </c>
      <c r="I35" s="1" t="s">
        <v>698</v>
      </c>
      <c r="J35" s="1">
        <f t="shared" si="2"/>
        <v>1</v>
      </c>
      <c r="L35" s="1" t="s">
        <v>723</v>
      </c>
      <c r="M35" s="7">
        <v>30</v>
      </c>
      <c r="N35" s="5" t="s">
        <v>223</v>
      </c>
      <c r="O35" s="3" t="s">
        <v>224</v>
      </c>
      <c r="P35" s="3" t="s">
        <v>14</v>
      </c>
      <c r="Q35" s="3">
        <v>10.036799999999999</v>
      </c>
      <c r="R35" s="43">
        <f>VLOOKUP('53'!O35,Malzemeler!C:D,2,0)</f>
        <v>1.23</v>
      </c>
      <c r="S35" s="43">
        <f t="shared" si="1"/>
        <v>12.345263999999998</v>
      </c>
    </row>
    <row r="36" spans="1:19" x14ac:dyDescent="0.35">
      <c r="A36" s="104"/>
      <c r="B36" s="1">
        <v>53</v>
      </c>
      <c r="C36" s="1" t="s">
        <v>698</v>
      </c>
      <c r="D36" s="1" t="s">
        <v>698</v>
      </c>
      <c r="E36" s="1" t="s">
        <v>698</v>
      </c>
      <c r="F36" s="1" t="s">
        <v>698</v>
      </c>
      <c r="G36" s="1" t="s">
        <v>698</v>
      </c>
      <c r="H36" s="1" t="s">
        <v>698</v>
      </c>
      <c r="I36" s="1" t="s">
        <v>698</v>
      </c>
      <c r="J36" s="1">
        <f t="shared" si="2"/>
        <v>1</v>
      </c>
      <c r="L36" s="1" t="s">
        <v>723</v>
      </c>
      <c r="M36" s="7">
        <v>31</v>
      </c>
      <c r="N36" s="5" t="s">
        <v>227</v>
      </c>
      <c r="O36" s="3" t="s">
        <v>97</v>
      </c>
      <c r="P36" s="3" t="s">
        <v>14</v>
      </c>
      <c r="Q36" s="3">
        <v>145.79141900799999</v>
      </c>
      <c r="R36" s="43">
        <f>VLOOKUP('53'!O36,Malzemeler!C:D,2,0)</f>
        <v>0.8</v>
      </c>
      <c r="S36" s="43">
        <f t="shared" si="1"/>
        <v>116.6331352064</v>
      </c>
    </row>
    <row r="37" spans="1:19" x14ac:dyDescent="0.35">
      <c r="A37" s="104"/>
      <c r="B37" s="1">
        <v>53</v>
      </c>
      <c r="C37" s="1" t="s">
        <v>698</v>
      </c>
      <c r="D37" s="1" t="s">
        <v>698</v>
      </c>
      <c r="E37" s="1" t="s">
        <v>698</v>
      </c>
      <c r="F37" s="1" t="s">
        <v>698</v>
      </c>
      <c r="G37" s="1" t="s">
        <v>698</v>
      </c>
      <c r="H37" s="1" t="s">
        <v>698</v>
      </c>
      <c r="I37" s="1" t="s">
        <v>698</v>
      </c>
      <c r="J37" s="1">
        <f t="shared" si="2"/>
        <v>1</v>
      </c>
      <c r="L37" s="1" t="s">
        <v>723</v>
      </c>
      <c r="M37" s="7">
        <v>32</v>
      </c>
      <c r="N37" s="5" t="s">
        <v>228</v>
      </c>
      <c r="O37" s="3" t="s">
        <v>229</v>
      </c>
      <c r="P37" s="3" t="s">
        <v>14</v>
      </c>
      <c r="Q37" s="3">
        <v>289.13736</v>
      </c>
      <c r="R37" s="43">
        <f>VLOOKUP('53'!O37,Malzemeler!C:D,2,0)</f>
        <v>0.79</v>
      </c>
      <c r="S37" s="43">
        <f t="shared" si="1"/>
        <v>228.41851440000002</v>
      </c>
    </row>
    <row r="38" spans="1:19" x14ac:dyDescent="0.35">
      <c r="A38" s="104"/>
      <c r="B38" s="1">
        <v>53</v>
      </c>
      <c r="C38" s="1" t="s">
        <v>698</v>
      </c>
      <c r="D38" s="1" t="s">
        <v>698</v>
      </c>
      <c r="E38" s="1" t="s">
        <v>698</v>
      </c>
      <c r="F38" s="1" t="s">
        <v>698</v>
      </c>
      <c r="G38" s="1" t="s">
        <v>698</v>
      </c>
      <c r="H38" s="1" t="s">
        <v>698</v>
      </c>
      <c r="I38" s="1" t="s">
        <v>698</v>
      </c>
      <c r="J38" s="1">
        <f t="shared" si="2"/>
        <v>1</v>
      </c>
      <c r="L38" s="1" t="s">
        <v>723</v>
      </c>
      <c r="M38" s="7">
        <v>33</v>
      </c>
      <c r="N38" s="5" t="s">
        <v>438</v>
      </c>
      <c r="O38" s="3" t="s">
        <v>231</v>
      </c>
      <c r="P38" s="3" t="s">
        <v>14</v>
      </c>
      <c r="Q38" s="3">
        <v>63.612730303999996</v>
      </c>
      <c r="R38" s="43">
        <f>VLOOKUP('53'!O38,Malzemeler!C:D,2,0)</f>
        <v>0.85</v>
      </c>
      <c r="S38" s="43">
        <f t="shared" si="1"/>
        <v>54.070820758399996</v>
      </c>
    </row>
    <row r="39" spans="1:19" x14ac:dyDescent="0.35">
      <c r="A39" s="104"/>
      <c r="B39" s="1">
        <v>53</v>
      </c>
      <c r="C39" s="1" t="s">
        <v>698</v>
      </c>
      <c r="D39" s="1" t="s">
        <v>698</v>
      </c>
      <c r="E39" s="1" t="s">
        <v>698</v>
      </c>
      <c r="F39" s="1" t="s">
        <v>698</v>
      </c>
      <c r="G39" s="1" t="s">
        <v>698</v>
      </c>
      <c r="H39" s="1" t="s">
        <v>698</v>
      </c>
      <c r="I39" s="1" t="s">
        <v>698</v>
      </c>
      <c r="J39" s="1">
        <f t="shared" ref="J39:J95" si="3">SUBTOTAL(103,B39)</f>
        <v>1</v>
      </c>
      <c r="L39" s="1" t="s">
        <v>723</v>
      </c>
      <c r="M39" s="7">
        <v>34</v>
      </c>
      <c r="N39" s="5" t="s">
        <v>234</v>
      </c>
      <c r="O39" s="3" t="s">
        <v>235</v>
      </c>
      <c r="P39" s="3" t="s">
        <v>14</v>
      </c>
      <c r="Q39" s="3">
        <v>36.960300000000004</v>
      </c>
      <c r="R39" s="43">
        <f>VLOOKUP('53'!O39,Malzemeler!C:D,2,0)</f>
        <v>2.3199999999999998</v>
      </c>
      <c r="S39" s="43">
        <f t="shared" si="1"/>
        <v>85.747895999999997</v>
      </c>
    </row>
    <row r="40" spans="1:19" x14ac:dyDescent="0.35">
      <c r="A40" s="104"/>
      <c r="B40" s="1">
        <v>53</v>
      </c>
      <c r="C40" s="1" t="s">
        <v>698</v>
      </c>
      <c r="D40" s="1" t="s">
        <v>698</v>
      </c>
      <c r="E40" s="1" t="s">
        <v>698</v>
      </c>
      <c r="F40" s="1" t="s">
        <v>698</v>
      </c>
      <c r="G40" s="1" t="s">
        <v>698</v>
      </c>
      <c r="H40" s="1" t="s">
        <v>698</v>
      </c>
      <c r="I40" s="1" t="s">
        <v>698</v>
      </c>
      <c r="J40" s="1">
        <f t="shared" si="3"/>
        <v>1</v>
      </c>
      <c r="L40" s="1" t="s">
        <v>723</v>
      </c>
      <c r="M40" s="7">
        <v>35</v>
      </c>
      <c r="N40" s="5" t="s">
        <v>638</v>
      </c>
      <c r="O40" s="3" t="s">
        <v>656</v>
      </c>
      <c r="P40" s="3" t="s">
        <v>14</v>
      </c>
      <c r="Q40" s="3">
        <v>8.0784000000000002</v>
      </c>
      <c r="R40" s="43">
        <f>VLOOKUP('53'!O40,Malzemeler!C:D,2,0)</f>
        <v>0</v>
      </c>
      <c r="S40" s="43">
        <f t="shared" si="1"/>
        <v>0</v>
      </c>
    </row>
    <row r="41" spans="1:19" x14ac:dyDescent="0.35">
      <c r="A41" s="104"/>
      <c r="B41" s="1">
        <v>53</v>
      </c>
      <c r="C41" s="1" t="s">
        <v>698</v>
      </c>
      <c r="D41" s="1" t="s">
        <v>698</v>
      </c>
      <c r="E41" s="1" t="s">
        <v>698</v>
      </c>
      <c r="F41" s="1" t="s">
        <v>698</v>
      </c>
      <c r="G41" s="1" t="s">
        <v>698</v>
      </c>
      <c r="H41" s="1" t="s">
        <v>698</v>
      </c>
      <c r="I41" s="1" t="s">
        <v>698</v>
      </c>
      <c r="J41" s="1">
        <f t="shared" si="3"/>
        <v>1</v>
      </c>
      <c r="L41" s="1" t="s">
        <v>723</v>
      </c>
      <c r="M41" s="7">
        <v>36</v>
      </c>
      <c r="N41" s="5" t="s">
        <v>90</v>
      </c>
      <c r="O41" s="3" t="s">
        <v>91</v>
      </c>
      <c r="P41" s="3" t="s">
        <v>14</v>
      </c>
      <c r="Q41" s="3">
        <v>60.603399999999993</v>
      </c>
      <c r="R41" s="43">
        <f>VLOOKUP('53'!O41,Malzemeler!C:D,2,0)</f>
        <v>1.27</v>
      </c>
      <c r="S41" s="43">
        <f t="shared" si="1"/>
        <v>76.966317999999987</v>
      </c>
    </row>
    <row r="42" spans="1:19" x14ac:dyDescent="0.35">
      <c r="A42" s="104"/>
      <c r="B42" s="1">
        <v>53</v>
      </c>
      <c r="C42" s="1" t="s">
        <v>698</v>
      </c>
      <c r="D42" s="1" t="s">
        <v>698</v>
      </c>
      <c r="E42" s="1" t="s">
        <v>698</v>
      </c>
      <c r="F42" s="1" t="s">
        <v>698</v>
      </c>
      <c r="G42" s="1" t="s">
        <v>698</v>
      </c>
      <c r="H42" s="1" t="s">
        <v>698</v>
      </c>
      <c r="I42" s="1" t="s">
        <v>698</v>
      </c>
      <c r="J42" s="1">
        <f t="shared" si="3"/>
        <v>1</v>
      </c>
      <c r="L42" s="1" t="s">
        <v>723</v>
      </c>
      <c r="M42" s="7">
        <v>37</v>
      </c>
      <c r="N42" s="5" t="s">
        <v>92</v>
      </c>
      <c r="O42" s="3" t="s">
        <v>93</v>
      </c>
      <c r="P42" s="3" t="s">
        <v>14</v>
      </c>
      <c r="Q42" s="3">
        <v>16.596800000000002</v>
      </c>
      <c r="R42" s="43">
        <f>VLOOKUP('53'!O42,Malzemeler!C:D,2,0)</f>
        <v>1.74</v>
      </c>
      <c r="S42" s="43">
        <f t="shared" si="1"/>
        <v>28.878432000000004</v>
      </c>
    </row>
    <row r="43" spans="1:19" x14ac:dyDescent="0.35">
      <c r="A43" s="104"/>
      <c r="B43" s="1">
        <v>53</v>
      </c>
      <c r="C43" s="1" t="s">
        <v>698</v>
      </c>
      <c r="D43" s="1" t="s">
        <v>698</v>
      </c>
      <c r="E43" s="1" t="s">
        <v>698</v>
      </c>
      <c r="F43" s="1" t="s">
        <v>698</v>
      </c>
      <c r="G43" s="1" t="s">
        <v>698</v>
      </c>
      <c r="H43" s="1" t="s">
        <v>698</v>
      </c>
      <c r="I43" s="1" t="s">
        <v>698</v>
      </c>
      <c r="J43" s="1">
        <f t="shared" si="3"/>
        <v>1</v>
      </c>
      <c r="L43" s="1" t="s">
        <v>723</v>
      </c>
      <c r="M43" s="7">
        <v>38</v>
      </c>
      <c r="N43" s="5" t="s">
        <v>238</v>
      </c>
      <c r="O43" s="3" t="s">
        <v>239</v>
      </c>
      <c r="P43" s="3" t="s">
        <v>14</v>
      </c>
      <c r="Q43" s="3">
        <v>49.342700000000001</v>
      </c>
      <c r="R43" s="43">
        <f>VLOOKUP('53'!O43,Malzemeler!C:D,2,0)</f>
        <v>1.95</v>
      </c>
      <c r="S43" s="43">
        <f t="shared" si="1"/>
        <v>96.218265000000002</v>
      </c>
    </row>
    <row r="44" spans="1:19" x14ac:dyDescent="0.35">
      <c r="A44" s="104"/>
      <c r="B44" s="1">
        <v>53</v>
      </c>
      <c r="C44" s="1" t="s">
        <v>698</v>
      </c>
      <c r="D44" s="1" t="s">
        <v>698</v>
      </c>
      <c r="E44" s="1" t="s">
        <v>698</v>
      </c>
      <c r="F44" s="1" t="s">
        <v>698</v>
      </c>
      <c r="G44" s="1" t="s">
        <v>698</v>
      </c>
      <c r="H44" s="1" t="s">
        <v>698</v>
      </c>
      <c r="I44" s="1" t="s">
        <v>698</v>
      </c>
      <c r="J44" s="1">
        <f t="shared" si="3"/>
        <v>1</v>
      </c>
      <c r="L44" s="1" t="s">
        <v>723</v>
      </c>
      <c r="M44" s="7">
        <v>39</v>
      </c>
      <c r="N44" s="5" t="s">
        <v>240</v>
      </c>
      <c r="O44" s="3" t="s">
        <v>241</v>
      </c>
      <c r="P44" s="3" t="s">
        <v>14</v>
      </c>
      <c r="Q44" s="3">
        <v>59.143699999999995</v>
      </c>
      <c r="R44" s="43">
        <f>VLOOKUP('53'!O44,Malzemeler!C:D,2,0)</f>
        <v>4.4000000000000004</v>
      </c>
      <c r="S44" s="43">
        <f t="shared" si="1"/>
        <v>260.23228</v>
      </c>
    </row>
    <row r="45" spans="1:19" x14ac:dyDescent="0.35">
      <c r="A45" s="104"/>
      <c r="B45" s="1">
        <v>53</v>
      </c>
      <c r="C45" s="1" t="s">
        <v>698</v>
      </c>
      <c r="D45" s="1" t="s">
        <v>698</v>
      </c>
      <c r="E45" s="1" t="s">
        <v>698</v>
      </c>
      <c r="F45" s="1" t="s">
        <v>698</v>
      </c>
      <c r="G45" s="1" t="s">
        <v>698</v>
      </c>
      <c r="H45" s="1" t="s">
        <v>698</v>
      </c>
      <c r="I45" s="1" t="s">
        <v>698</v>
      </c>
      <c r="J45" s="1">
        <f t="shared" si="3"/>
        <v>1</v>
      </c>
      <c r="L45" s="1" t="s">
        <v>723</v>
      </c>
      <c r="M45" s="7">
        <v>40</v>
      </c>
      <c r="N45" s="5" t="s">
        <v>370</v>
      </c>
      <c r="O45" s="3" t="s">
        <v>371</v>
      </c>
      <c r="P45" s="3" t="s">
        <v>14</v>
      </c>
      <c r="Q45" s="3">
        <v>5.1600999999999999</v>
      </c>
      <c r="R45" s="43">
        <f>VLOOKUP('53'!O45,Malzemeler!C:D,2,0)</f>
        <v>4.4000000000000004</v>
      </c>
      <c r="S45" s="43">
        <f t="shared" si="1"/>
        <v>22.704440000000002</v>
      </c>
    </row>
    <row r="46" spans="1:19" x14ac:dyDescent="0.35">
      <c r="A46" s="104"/>
      <c r="B46" s="1">
        <v>53</v>
      </c>
      <c r="C46" s="1" t="s">
        <v>698</v>
      </c>
      <c r="D46" s="1" t="s">
        <v>698</v>
      </c>
      <c r="E46" s="1" t="s">
        <v>698</v>
      </c>
      <c r="F46" s="1" t="s">
        <v>698</v>
      </c>
      <c r="G46" s="1" t="s">
        <v>698</v>
      </c>
      <c r="H46" s="1" t="s">
        <v>698</v>
      </c>
      <c r="I46" s="1" t="s">
        <v>698</v>
      </c>
      <c r="J46" s="1">
        <f t="shared" si="3"/>
        <v>1</v>
      </c>
      <c r="L46" s="1" t="s">
        <v>723</v>
      </c>
      <c r="M46" s="7">
        <v>41</v>
      </c>
      <c r="N46" s="5" t="s">
        <v>242</v>
      </c>
      <c r="O46" s="3" t="s">
        <v>243</v>
      </c>
      <c r="P46" s="3" t="s">
        <v>14</v>
      </c>
      <c r="Q46" s="3">
        <v>14.5838</v>
      </c>
      <c r="R46" s="43">
        <f>VLOOKUP('53'!O46,Malzemeler!C:D,2,0)</f>
        <v>4.4000000000000004</v>
      </c>
      <c r="S46" s="43">
        <f t="shared" si="1"/>
        <v>64.168720000000008</v>
      </c>
    </row>
    <row r="47" spans="1:19" x14ac:dyDescent="0.35">
      <c r="A47" s="104"/>
      <c r="B47" s="1">
        <v>53</v>
      </c>
      <c r="C47" s="1" t="s">
        <v>698</v>
      </c>
      <c r="D47" s="1" t="s">
        <v>698</v>
      </c>
      <c r="E47" s="1" t="s">
        <v>698</v>
      </c>
      <c r="F47" s="1" t="s">
        <v>698</v>
      </c>
      <c r="G47" s="1" t="s">
        <v>698</v>
      </c>
      <c r="H47" s="1" t="s">
        <v>698</v>
      </c>
      <c r="I47" s="1" t="s">
        <v>698</v>
      </c>
      <c r="J47" s="1">
        <f t="shared" si="3"/>
        <v>1</v>
      </c>
      <c r="L47" s="1" t="s">
        <v>723</v>
      </c>
      <c r="M47" s="7">
        <v>42</v>
      </c>
      <c r="N47" s="5" t="s">
        <v>244</v>
      </c>
      <c r="O47" s="3" t="s">
        <v>245</v>
      </c>
      <c r="P47" s="3" t="s">
        <v>14</v>
      </c>
      <c r="Q47" s="3">
        <v>10.6546</v>
      </c>
      <c r="R47" s="43">
        <f>VLOOKUP('53'!O47,Malzemeler!C:D,2,0)</f>
        <v>4.4000000000000004</v>
      </c>
      <c r="S47" s="43">
        <f t="shared" si="1"/>
        <v>46.880240000000008</v>
      </c>
    </row>
    <row r="48" spans="1:19" x14ac:dyDescent="0.35">
      <c r="A48" s="104"/>
      <c r="B48" s="1">
        <v>53</v>
      </c>
      <c r="C48" s="1" t="s">
        <v>698</v>
      </c>
      <c r="D48" s="1" t="s">
        <v>698</v>
      </c>
      <c r="E48" s="1" t="s">
        <v>698</v>
      </c>
      <c r="F48" s="1" t="s">
        <v>698</v>
      </c>
      <c r="G48" s="1" t="s">
        <v>698</v>
      </c>
      <c r="H48" s="1" t="s">
        <v>698</v>
      </c>
      <c r="I48" s="1" t="s">
        <v>698</v>
      </c>
      <c r="J48" s="1">
        <f t="shared" si="3"/>
        <v>1</v>
      </c>
      <c r="L48" s="1" t="s">
        <v>723</v>
      </c>
      <c r="M48" s="7">
        <v>43</v>
      </c>
      <c r="N48" s="5" t="s">
        <v>246</v>
      </c>
      <c r="O48" s="3" t="s">
        <v>247</v>
      </c>
      <c r="P48" s="3" t="s">
        <v>14</v>
      </c>
      <c r="Q48" s="3">
        <v>10.3268</v>
      </c>
      <c r="R48" s="43">
        <f>VLOOKUP('53'!O48,Malzemeler!C:D,2,0)</f>
        <v>4.4000000000000004</v>
      </c>
      <c r="S48" s="43">
        <f t="shared" si="1"/>
        <v>45.437920000000005</v>
      </c>
    </row>
    <row r="49" spans="1:19" x14ac:dyDescent="0.35">
      <c r="A49" s="104"/>
      <c r="B49" s="1">
        <v>53</v>
      </c>
      <c r="C49" s="1" t="s">
        <v>698</v>
      </c>
      <c r="D49" s="1" t="s">
        <v>698</v>
      </c>
      <c r="E49" s="1" t="s">
        <v>698</v>
      </c>
      <c r="F49" s="1" t="s">
        <v>698</v>
      </c>
      <c r="G49" s="1" t="s">
        <v>698</v>
      </c>
      <c r="H49" s="1" t="s">
        <v>698</v>
      </c>
      <c r="I49" s="1" t="s">
        <v>698</v>
      </c>
      <c r="J49" s="1">
        <f t="shared" si="3"/>
        <v>1</v>
      </c>
      <c r="L49" s="1" t="s">
        <v>723</v>
      </c>
      <c r="M49" s="7">
        <v>44</v>
      </c>
      <c r="N49" s="5" t="s">
        <v>248</v>
      </c>
      <c r="O49" s="3" t="s">
        <v>249</v>
      </c>
      <c r="P49" s="3" t="s">
        <v>14</v>
      </c>
      <c r="Q49" s="3">
        <v>41.8</v>
      </c>
      <c r="R49" s="43">
        <f>VLOOKUP('53'!O49,Malzemeler!C:D,2,0)</f>
        <v>2.36</v>
      </c>
      <c r="S49" s="43">
        <f t="shared" si="1"/>
        <v>98.647999999999982</v>
      </c>
    </row>
    <row r="50" spans="1:19" x14ac:dyDescent="0.35">
      <c r="A50" s="104"/>
      <c r="B50" s="1">
        <v>53</v>
      </c>
      <c r="C50" s="1" t="s">
        <v>698</v>
      </c>
      <c r="D50" s="1" t="s">
        <v>698</v>
      </c>
      <c r="E50" s="1" t="s">
        <v>698</v>
      </c>
      <c r="F50" s="1" t="s">
        <v>698</v>
      </c>
      <c r="G50" s="1" t="s">
        <v>698</v>
      </c>
      <c r="H50" s="1" t="s">
        <v>698</v>
      </c>
      <c r="I50" s="1" t="s">
        <v>698</v>
      </c>
      <c r="J50" s="1">
        <f t="shared" si="3"/>
        <v>1</v>
      </c>
      <c r="L50" s="1" t="s">
        <v>723</v>
      </c>
      <c r="M50" s="7">
        <v>45</v>
      </c>
      <c r="N50" s="5" t="s">
        <v>250</v>
      </c>
      <c r="O50" s="3" t="s">
        <v>251</v>
      </c>
      <c r="P50" s="3" t="s">
        <v>14</v>
      </c>
      <c r="Q50" s="3">
        <v>8.702</v>
      </c>
      <c r="R50" s="43">
        <f>VLOOKUP('53'!O50,Malzemeler!C:D,2,0)</f>
        <v>1.88</v>
      </c>
      <c r="S50" s="43">
        <f t="shared" si="1"/>
        <v>16.359759999999998</v>
      </c>
    </row>
    <row r="51" spans="1:19" x14ac:dyDescent="0.35">
      <c r="A51" s="104"/>
      <c r="B51" s="1">
        <v>53</v>
      </c>
      <c r="C51" s="1" t="s">
        <v>698</v>
      </c>
      <c r="D51" s="1" t="s">
        <v>698</v>
      </c>
      <c r="E51" s="1" t="s">
        <v>698</v>
      </c>
      <c r="F51" s="1" t="s">
        <v>698</v>
      </c>
      <c r="G51" s="1" t="s">
        <v>698</v>
      </c>
      <c r="H51" s="1" t="s">
        <v>698</v>
      </c>
      <c r="I51" s="1" t="s">
        <v>698</v>
      </c>
      <c r="J51" s="1">
        <f t="shared" si="3"/>
        <v>1</v>
      </c>
      <c r="L51" s="1" t="s">
        <v>723</v>
      </c>
      <c r="M51" s="7">
        <v>46</v>
      </c>
      <c r="N51" s="5" t="s">
        <v>252</v>
      </c>
      <c r="O51" s="3" t="s">
        <v>253</v>
      </c>
      <c r="P51" s="3" t="s">
        <v>14</v>
      </c>
      <c r="Q51" s="3">
        <v>91.108059999999995</v>
      </c>
      <c r="R51" s="43">
        <f>VLOOKUP('53'!O51,Malzemeler!C:D,2,0)</f>
        <v>1.04</v>
      </c>
      <c r="S51" s="43">
        <f t="shared" si="1"/>
        <v>94.752382400000002</v>
      </c>
    </row>
    <row r="52" spans="1:19" x14ac:dyDescent="0.35">
      <c r="A52" s="104"/>
      <c r="B52" s="1">
        <v>53</v>
      </c>
      <c r="C52" s="1" t="s">
        <v>698</v>
      </c>
      <c r="D52" s="1" t="s">
        <v>698</v>
      </c>
      <c r="E52" s="1" t="s">
        <v>698</v>
      </c>
      <c r="F52" s="1" t="s">
        <v>698</v>
      </c>
      <c r="G52" s="1" t="s">
        <v>698</v>
      </c>
      <c r="H52" s="1" t="s">
        <v>698</v>
      </c>
      <c r="I52" s="1" t="s">
        <v>698</v>
      </c>
      <c r="J52" s="1">
        <f t="shared" si="3"/>
        <v>1</v>
      </c>
      <c r="L52" s="1" t="s">
        <v>723</v>
      </c>
      <c r="M52" s="7">
        <v>47</v>
      </c>
      <c r="N52" s="5" t="s">
        <v>254</v>
      </c>
      <c r="O52" s="3" t="s">
        <v>255</v>
      </c>
      <c r="P52" s="3" t="s">
        <v>14</v>
      </c>
      <c r="Q52" s="3">
        <v>8.5624000000000002</v>
      </c>
      <c r="R52" s="43">
        <f>VLOOKUP('53'!O52,Malzemeler!C:D,2,0)</f>
        <v>0.76</v>
      </c>
      <c r="S52" s="43">
        <f t="shared" si="1"/>
        <v>6.5074240000000003</v>
      </c>
    </row>
    <row r="53" spans="1:19" x14ac:dyDescent="0.35">
      <c r="A53" s="104"/>
      <c r="B53" s="1">
        <v>53</v>
      </c>
      <c r="C53" s="1" t="s">
        <v>698</v>
      </c>
      <c r="D53" s="1" t="s">
        <v>698</v>
      </c>
      <c r="E53" s="1" t="s">
        <v>698</v>
      </c>
      <c r="F53" s="1" t="s">
        <v>698</v>
      </c>
      <c r="G53" s="1" t="s">
        <v>698</v>
      </c>
      <c r="H53" s="1" t="s">
        <v>698</v>
      </c>
      <c r="I53" s="1" t="s">
        <v>698</v>
      </c>
      <c r="J53" s="1">
        <f t="shared" si="3"/>
        <v>1</v>
      </c>
      <c r="L53" s="1" t="s">
        <v>723</v>
      </c>
      <c r="M53" s="7">
        <v>48</v>
      </c>
      <c r="N53" s="5" t="s">
        <v>256</v>
      </c>
      <c r="O53" s="3" t="s">
        <v>257</v>
      </c>
      <c r="P53" s="3" t="s">
        <v>14</v>
      </c>
      <c r="Q53" s="3">
        <v>20.607399999999998</v>
      </c>
      <c r="R53" s="43">
        <f>VLOOKUP('53'!O53,Malzemeler!C:D,2,0)</f>
        <v>0.7</v>
      </c>
      <c r="S53" s="43">
        <f t="shared" si="1"/>
        <v>14.425179999999997</v>
      </c>
    </row>
    <row r="54" spans="1:19" x14ac:dyDescent="0.35">
      <c r="A54" s="104"/>
      <c r="B54" s="1">
        <v>53</v>
      </c>
      <c r="C54" s="1" t="s">
        <v>698</v>
      </c>
      <c r="D54" s="1" t="s">
        <v>698</v>
      </c>
      <c r="E54" s="1" t="s">
        <v>698</v>
      </c>
      <c r="F54" s="1" t="s">
        <v>698</v>
      </c>
      <c r="G54" s="1" t="s">
        <v>698</v>
      </c>
      <c r="H54" s="1" t="s">
        <v>698</v>
      </c>
      <c r="I54" s="1" t="s">
        <v>698</v>
      </c>
      <c r="J54" s="1">
        <f t="shared" si="3"/>
        <v>1</v>
      </c>
      <c r="L54" s="1" t="s">
        <v>723</v>
      </c>
      <c r="M54" s="7">
        <v>49</v>
      </c>
      <c r="N54" s="5" t="s">
        <v>110</v>
      </c>
      <c r="O54" s="3" t="s">
        <v>111</v>
      </c>
      <c r="P54" s="3" t="s">
        <v>14</v>
      </c>
      <c r="Q54" s="3">
        <v>235.81360000000001</v>
      </c>
      <c r="R54" s="43">
        <f>VLOOKUP('53'!O54,Malzemeler!C:D,2,0)</f>
        <v>1.1200000000000001</v>
      </c>
      <c r="S54" s="43">
        <f t="shared" si="1"/>
        <v>264.11123200000003</v>
      </c>
    </row>
    <row r="55" spans="1:19" x14ac:dyDescent="0.35">
      <c r="A55" s="104"/>
      <c r="B55" s="1">
        <v>53</v>
      </c>
      <c r="C55" s="1" t="s">
        <v>698</v>
      </c>
      <c r="D55" s="1" t="s">
        <v>698</v>
      </c>
      <c r="E55" s="1" t="s">
        <v>698</v>
      </c>
      <c r="F55" s="1" t="s">
        <v>698</v>
      </c>
      <c r="G55" s="1" t="s">
        <v>698</v>
      </c>
      <c r="H55" s="1" t="s">
        <v>698</v>
      </c>
      <c r="I55" s="1" t="s">
        <v>698</v>
      </c>
      <c r="J55" s="1">
        <f t="shared" si="3"/>
        <v>1</v>
      </c>
      <c r="L55" s="1" t="s">
        <v>723</v>
      </c>
      <c r="M55" s="7">
        <v>50</v>
      </c>
      <c r="N55" s="5" t="s">
        <v>258</v>
      </c>
      <c r="O55" s="3" t="s">
        <v>157</v>
      </c>
      <c r="P55" s="3" t="s">
        <v>14</v>
      </c>
      <c r="Q55" s="3">
        <v>50.344999999999992</v>
      </c>
      <c r="R55" s="43">
        <f>VLOOKUP('53'!O55,Malzemeler!C:D,2,0)</f>
        <v>3</v>
      </c>
      <c r="S55" s="43">
        <f t="shared" si="1"/>
        <v>151.03499999999997</v>
      </c>
    </row>
    <row r="56" spans="1:19" x14ac:dyDescent="0.35">
      <c r="A56" s="104"/>
      <c r="B56" s="1">
        <v>53</v>
      </c>
      <c r="C56" s="1" t="s">
        <v>698</v>
      </c>
      <c r="D56" s="1" t="s">
        <v>698</v>
      </c>
      <c r="E56" s="1" t="s">
        <v>698</v>
      </c>
      <c r="F56" s="1" t="s">
        <v>698</v>
      </c>
      <c r="G56" s="1" t="s">
        <v>698</v>
      </c>
      <c r="H56" s="1" t="s">
        <v>698</v>
      </c>
      <c r="I56" s="1" t="s">
        <v>698</v>
      </c>
      <c r="J56" s="1">
        <f t="shared" si="3"/>
        <v>1</v>
      </c>
      <c r="L56" s="1" t="s">
        <v>723</v>
      </c>
      <c r="M56" s="7">
        <v>51</v>
      </c>
      <c r="N56" s="5" t="s">
        <v>259</v>
      </c>
      <c r="O56" s="3" t="s">
        <v>260</v>
      </c>
      <c r="P56" s="3" t="s">
        <v>14</v>
      </c>
      <c r="Q56" s="3">
        <v>9.1</v>
      </c>
      <c r="R56" s="43">
        <f>VLOOKUP('53'!O56,Malzemeler!C:D,2,0)</f>
        <v>3</v>
      </c>
      <c r="S56" s="43">
        <f t="shared" si="1"/>
        <v>27.299999999999997</v>
      </c>
    </row>
    <row r="57" spans="1:19" x14ac:dyDescent="0.35">
      <c r="A57" s="104"/>
      <c r="B57" s="1">
        <v>53</v>
      </c>
      <c r="C57" s="1" t="s">
        <v>698</v>
      </c>
      <c r="D57" s="1" t="s">
        <v>698</v>
      </c>
      <c r="E57" s="1" t="s">
        <v>698</v>
      </c>
      <c r="F57" s="1" t="s">
        <v>698</v>
      </c>
      <c r="G57" s="1" t="s">
        <v>698</v>
      </c>
      <c r="H57" s="1" t="s">
        <v>698</v>
      </c>
      <c r="I57" s="1" t="s">
        <v>698</v>
      </c>
      <c r="J57" s="1">
        <f t="shared" si="3"/>
        <v>1</v>
      </c>
      <c r="L57" s="1" t="s">
        <v>723</v>
      </c>
      <c r="M57" s="7">
        <v>52</v>
      </c>
      <c r="N57" s="5" t="s">
        <v>652</v>
      </c>
      <c r="O57" s="3" t="s">
        <v>666</v>
      </c>
      <c r="P57" s="3" t="s">
        <v>14</v>
      </c>
      <c r="Q57" s="3">
        <v>4</v>
      </c>
      <c r="R57" s="43">
        <f>VLOOKUP('53'!O57,Malzemeler!C:D,2,0)</f>
        <v>0</v>
      </c>
      <c r="S57" s="43">
        <f t="shared" si="1"/>
        <v>0</v>
      </c>
    </row>
    <row r="58" spans="1:19" x14ac:dyDescent="0.35">
      <c r="A58" s="104"/>
      <c r="B58" s="1">
        <v>53</v>
      </c>
      <c r="C58" s="1" t="s">
        <v>698</v>
      </c>
      <c r="D58" s="1" t="s">
        <v>698</v>
      </c>
      <c r="E58" s="1" t="s">
        <v>698</v>
      </c>
      <c r="F58" s="1" t="s">
        <v>698</v>
      </c>
      <c r="G58" s="1" t="s">
        <v>698</v>
      </c>
      <c r="H58" s="1" t="s">
        <v>698</v>
      </c>
      <c r="I58" s="1" t="s">
        <v>698</v>
      </c>
      <c r="J58" s="1">
        <f t="shared" si="3"/>
        <v>1</v>
      </c>
      <c r="L58" s="1" t="s">
        <v>723</v>
      </c>
      <c r="M58" s="7">
        <v>53</v>
      </c>
      <c r="N58" s="5" t="s">
        <v>653</v>
      </c>
      <c r="O58" s="3" t="s">
        <v>667</v>
      </c>
      <c r="P58" s="3" t="s">
        <v>14</v>
      </c>
      <c r="Q58" s="3">
        <v>4</v>
      </c>
      <c r="R58" s="43">
        <f>VLOOKUP('53'!O58,Malzemeler!C:D,2,0)</f>
        <v>0</v>
      </c>
      <c r="S58" s="43">
        <f t="shared" si="1"/>
        <v>0</v>
      </c>
    </row>
    <row r="59" spans="1:19" x14ac:dyDescent="0.35">
      <c r="A59" s="104"/>
      <c r="B59" s="1">
        <v>53</v>
      </c>
      <c r="C59" s="1" t="s">
        <v>698</v>
      </c>
      <c r="D59" s="1" t="s">
        <v>698</v>
      </c>
      <c r="E59" s="1" t="s">
        <v>698</v>
      </c>
      <c r="F59" s="1" t="s">
        <v>698</v>
      </c>
      <c r="G59" s="1" t="s">
        <v>698</v>
      </c>
      <c r="H59" s="1" t="s">
        <v>698</v>
      </c>
      <c r="I59" s="1" t="s">
        <v>698</v>
      </c>
      <c r="J59" s="1">
        <f t="shared" si="3"/>
        <v>1</v>
      </c>
      <c r="L59" s="1" t="s">
        <v>723</v>
      </c>
      <c r="M59" s="7">
        <v>54</v>
      </c>
      <c r="N59" s="5" t="s">
        <v>639</v>
      </c>
      <c r="O59" s="3" t="s">
        <v>657</v>
      </c>
      <c r="P59" s="3" t="s">
        <v>14</v>
      </c>
      <c r="Q59" s="3">
        <v>80</v>
      </c>
      <c r="R59" s="43">
        <f>VLOOKUP('53'!O59,Malzemeler!C:D,2,0)</f>
        <v>0</v>
      </c>
      <c r="S59" s="43">
        <f t="shared" si="1"/>
        <v>0</v>
      </c>
    </row>
    <row r="60" spans="1:19" x14ac:dyDescent="0.35">
      <c r="A60" s="104"/>
      <c r="B60" s="1">
        <v>53</v>
      </c>
      <c r="C60" s="1" t="s">
        <v>698</v>
      </c>
      <c r="D60" s="1" t="s">
        <v>698</v>
      </c>
      <c r="E60" s="1" t="s">
        <v>698</v>
      </c>
      <c r="F60" s="1" t="s">
        <v>698</v>
      </c>
      <c r="G60" s="1" t="s">
        <v>698</v>
      </c>
      <c r="H60" s="1" t="s">
        <v>698</v>
      </c>
      <c r="I60" s="1" t="s">
        <v>698</v>
      </c>
      <c r="J60" s="1">
        <f t="shared" si="3"/>
        <v>1</v>
      </c>
      <c r="L60" s="1" t="s">
        <v>723</v>
      </c>
      <c r="M60" s="7">
        <v>55</v>
      </c>
      <c r="N60" s="5" t="s">
        <v>640</v>
      </c>
      <c r="O60" s="3" t="s">
        <v>658</v>
      </c>
      <c r="P60" s="3" t="s">
        <v>14</v>
      </c>
      <c r="Q60" s="3">
        <v>20</v>
      </c>
      <c r="R60" s="43">
        <f>VLOOKUP('53'!O60,Malzemeler!C:D,2,0)</f>
        <v>0</v>
      </c>
      <c r="S60" s="43">
        <f t="shared" si="1"/>
        <v>0</v>
      </c>
    </row>
    <row r="61" spans="1:19" x14ac:dyDescent="0.35">
      <c r="A61" s="104"/>
      <c r="B61" s="1">
        <v>53</v>
      </c>
      <c r="C61" s="1" t="s">
        <v>698</v>
      </c>
      <c r="D61" s="1" t="s">
        <v>698</v>
      </c>
      <c r="E61" s="1" t="s">
        <v>698</v>
      </c>
      <c r="F61" s="1" t="s">
        <v>698</v>
      </c>
      <c r="G61" s="1" t="s">
        <v>698</v>
      </c>
      <c r="H61" s="1" t="s">
        <v>698</v>
      </c>
      <c r="I61" s="1" t="s">
        <v>698</v>
      </c>
      <c r="J61" s="1">
        <f t="shared" si="3"/>
        <v>1</v>
      </c>
      <c r="L61" s="1" t="s">
        <v>723</v>
      </c>
      <c r="M61" s="7">
        <v>56</v>
      </c>
      <c r="N61" s="5" t="s">
        <v>641</v>
      </c>
      <c r="O61" s="3" t="s">
        <v>659</v>
      </c>
      <c r="P61" s="3" t="s">
        <v>14</v>
      </c>
      <c r="Q61" s="3">
        <v>20</v>
      </c>
      <c r="R61" s="43">
        <f>VLOOKUP('53'!O61,Malzemeler!C:D,2,0)</f>
        <v>0</v>
      </c>
      <c r="S61" s="43">
        <f t="shared" si="1"/>
        <v>0</v>
      </c>
    </row>
    <row r="62" spans="1:19" x14ac:dyDescent="0.35">
      <c r="A62" s="104"/>
      <c r="B62" s="1">
        <v>53</v>
      </c>
      <c r="C62" s="1" t="s">
        <v>698</v>
      </c>
      <c r="D62" s="1" t="s">
        <v>698</v>
      </c>
      <c r="E62" s="1" t="s">
        <v>698</v>
      </c>
      <c r="F62" s="1" t="s">
        <v>698</v>
      </c>
      <c r="G62" s="1" t="s">
        <v>698</v>
      </c>
      <c r="H62" s="1" t="s">
        <v>698</v>
      </c>
      <c r="I62" s="1" t="s">
        <v>698</v>
      </c>
      <c r="J62" s="1">
        <f t="shared" si="3"/>
        <v>1</v>
      </c>
      <c r="L62" s="1" t="s">
        <v>723</v>
      </c>
      <c r="M62" s="7">
        <v>57</v>
      </c>
      <c r="N62" s="5" t="s">
        <v>264</v>
      </c>
      <c r="O62" s="3" t="s">
        <v>265</v>
      </c>
      <c r="P62" s="3" t="s">
        <v>14</v>
      </c>
      <c r="Q62" s="3">
        <v>16</v>
      </c>
      <c r="R62" s="43">
        <f>VLOOKUP('53'!O62,Malzemeler!C:D,2,0)</f>
        <v>8.2200000000000006</v>
      </c>
      <c r="S62" s="43">
        <f t="shared" si="1"/>
        <v>131.52000000000001</v>
      </c>
    </row>
    <row r="63" spans="1:19" x14ac:dyDescent="0.35">
      <c r="A63" s="104"/>
      <c r="B63" s="1">
        <v>53</v>
      </c>
      <c r="C63" s="1" t="s">
        <v>698</v>
      </c>
      <c r="D63" s="1" t="s">
        <v>698</v>
      </c>
      <c r="E63" s="1" t="s">
        <v>698</v>
      </c>
      <c r="F63" s="1" t="s">
        <v>698</v>
      </c>
      <c r="G63" s="1" t="s">
        <v>698</v>
      </c>
      <c r="H63" s="1" t="s">
        <v>698</v>
      </c>
      <c r="I63" s="1" t="s">
        <v>698</v>
      </c>
      <c r="J63" s="1">
        <f t="shared" si="3"/>
        <v>1</v>
      </c>
      <c r="L63" s="1" t="s">
        <v>723</v>
      </c>
      <c r="M63" s="7">
        <v>58</v>
      </c>
      <c r="N63" s="5" t="s">
        <v>266</v>
      </c>
      <c r="O63" s="3" t="s">
        <v>267</v>
      </c>
      <c r="P63" s="3" t="s">
        <v>14</v>
      </c>
      <c r="Q63" s="3">
        <v>24</v>
      </c>
      <c r="R63" s="43">
        <f>VLOOKUP('53'!O63,Malzemeler!C:D,2,0)</f>
        <v>3.4609999999999999</v>
      </c>
      <c r="S63" s="43">
        <f t="shared" si="1"/>
        <v>83.063999999999993</v>
      </c>
    </row>
    <row r="64" spans="1:19" x14ac:dyDescent="0.35">
      <c r="A64" s="104"/>
      <c r="B64" s="1">
        <v>53</v>
      </c>
      <c r="C64" s="1" t="s">
        <v>698</v>
      </c>
      <c r="D64" s="1" t="s">
        <v>698</v>
      </c>
      <c r="E64" s="1" t="s">
        <v>698</v>
      </c>
      <c r="F64" s="1" t="s">
        <v>698</v>
      </c>
      <c r="G64" s="1" t="s">
        <v>698</v>
      </c>
      <c r="H64" s="1" t="s">
        <v>698</v>
      </c>
      <c r="I64" s="1" t="s">
        <v>698</v>
      </c>
      <c r="J64" s="1">
        <f t="shared" si="3"/>
        <v>1</v>
      </c>
      <c r="L64" s="1" t="s">
        <v>723</v>
      </c>
      <c r="M64" s="7">
        <v>59</v>
      </c>
      <c r="N64" s="5" t="s">
        <v>268</v>
      </c>
      <c r="O64" s="3" t="s">
        <v>269</v>
      </c>
      <c r="P64" s="3" t="s">
        <v>14</v>
      </c>
      <c r="Q64" s="3">
        <v>1</v>
      </c>
      <c r="R64" s="43">
        <f>VLOOKUP('53'!O64,Malzemeler!C:D,2,0)</f>
        <v>3.2450000000000001</v>
      </c>
      <c r="S64" s="43">
        <f t="shared" si="1"/>
        <v>3.2450000000000001</v>
      </c>
    </row>
    <row r="65" spans="1:19" x14ac:dyDescent="0.35">
      <c r="A65" s="104"/>
      <c r="B65" s="1">
        <v>53</v>
      </c>
      <c r="C65" s="1" t="s">
        <v>698</v>
      </c>
      <c r="D65" s="1" t="s">
        <v>698</v>
      </c>
      <c r="E65" s="1" t="s">
        <v>698</v>
      </c>
      <c r="F65" s="1" t="s">
        <v>698</v>
      </c>
      <c r="G65" s="1" t="s">
        <v>698</v>
      </c>
      <c r="H65" s="1" t="s">
        <v>698</v>
      </c>
      <c r="I65" s="1" t="s">
        <v>698</v>
      </c>
      <c r="J65" s="1">
        <f t="shared" si="3"/>
        <v>1</v>
      </c>
      <c r="L65" s="1" t="s">
        <v>723</v>
      </c>
      <c r="M65" s="7">
        <v>60</v>
      </c>
      <c r="N65" s="5" t="s">
        <v>642</v>
      </c>
      <c r="O65" s="3" t="s">
        <v>660</v>
      </c>
      <c r="P65" s="3" t="s">
        <v>14</v>
      </c>
      <c r="Q65" s="3">
        <v>20</v>
      </c>
      <c r="R65" s="43">
        <f>VLOOKUP('53'!O65,Malzemeler!C:D,2,0)</f>
        <v>0</v>
      </c>
      <c r="S65" s="43">
        <f t="shared" si="1"/>
        <v>0</v>
      </c>
    </row>
    <row r="66" spans="1:19" x14ac:dyDescent="0.35">
      <c r="A66" s="104"/>
      <c r="B66" s="1">
        <v>53</v>
      </c>
      <c r="C66" s="1" t="s">
        <v>698</v>
      </c>
      <c r="D66" s="1" t="s">
        <v>698</v>
      </c>
      <c r="E66" s="1" t="s">
        <v>698</v>
      </c>
      <c r="F66" s="1" t="s">
        <v>698</v>
      </c>
      <c r="G66" s="1" t="s">
        <v>698</v>
      </c>
      <c r="H66" s="1" t="s">
        <v>698</v>
      </c>
      <c r="I66" s="1" t="s">
        <v>698</v>
      </c>
      <c r="J66" s="1">
        <f t="shared" si="3"/>
        <v>1</v>
      </c>
      <c r="L66" s="1" t="s">
        <v>723</v>
      </c>
      <c r="M66" s="7">
        <v>61</v>
      </c>
      <c r="N66" s="5" t="s">
        <v>272</v>
      </c>
      <c r="O66" s="3" t="s">
        <v>273</v>
      </c>
      <c r="P66" s="3" t="s">
        <v>14</v>
      </c>
      <c r="Q66" s="3">
        <v>10.08</v>
      </c>
      <c r="R66" s="43">
        <f>VLOOKUP('53'!O66,Malzemeler!C:D,2,0)</f>
        <v>1</v>
      </c>
      <c r="S66" s="43">
        <f t="shared" si="1"/>
        <v>10.08</v>
      </c>
    </row>
    <row r="67" spans="1:19" x14ac:dyDescent="0.35">
      <c r="A67" s="104"/>
      <c r="B67" s="1">
        <v>53</v>
      </c>
      <c r="C67" s="1" t="s">
        <v>698</v>
      </c>
      <c r="D67" s="1" t="s">
        <v>698</v>
      </c>
      <c r="E67" s="1" t="s">
        <v>698</v>
      </c>
      <c r="F67" s="1" t="s">
        <v>698</v>
      </c>
      <c r="G67" s="1" t="s">
        <v>698</v>
      </c>
      <c r="H67" s="1" t="s">
        <v>698</v>
      </c>
      <c r="I67" s="1" t="s">
        <v>698</v>
      </c>
      <c r="J67" s="1">
        <f t="shared" si="3"/>
        <v>1</v>
      </c>
      <c r="L67" s="1" t="s">
        <v>723</v>
      </c>
      <c r="M67" s="7">
        <v>62</v>
      </c>
      <c r="N67" s="5" t="s">
        <v>274</v>
      </c>
      <c r="O67" s="3" t="s">
        <v>275</v>
      </c>
      <c r="P67" s="3" t="s">
        <v>14</v>
      </c>
      <c r="Q67" s="3">
        <v>38</v>
      </c>
      <c r="R67" s="43">
        <f>VLOOKUP('53'!O67,Malzemeler!C:D,2,0)</f>
        <v>6.3</v>
      </c>
      <c r="S67" s="43">
        <f t="shared" ref="S67:S133" si="4">+R67*Q67</f>
        <v>239.4</v>
      </c>
    </row>
    <row r="68" spans="1:19" x14ac:dyDescent="0.35">
      <c r="A68" s="104"/>
      <c r="B68" s="1">
        <v>53</v>
      </c>
      <c r="C68" s="1" t="s">
        <v>698</v>
      </c>
      <c r="D68" s="1" t="s">
        <v>698</v>
      </c>
      <c r="E68" s="1" t="s">
        <v>698</v>
      </c>
      <c r="F68" s="1" t="s">
        <v>698</v>
      </c>
      <c r="G68" s="1" t="s">
        <v>698</v>
      </c>
      <c r="H68" s="1" t="s">
        <v>698</v>
      </c>
      <c r="I68" s="1" t="s">
        <v>698</v>
      </c>
      <c r="J68" s="1">
        <f t="shared" si="3"/>
        <v>1</v>
      </c>
      <c r="L68" s="1" t="s">
        <v>723</v>
      </c>
      <c r="M68" s="7">
        <v>63</v>
      </c>
      <c r="N68" s="5" t="s">
        <v>643</v>
      </c>
      <c r="O68" s="3" t="s">
        <v>661</v>
      </c>
      <c r="P68" s="3" t="s">
        <v>14</v>
      </c>
      <c r="Q68" s="3">
        <v>64.597896000000006</v>
      </c>
      <c r="R68" s="43">
        <f>VLOOKUP('53'!O68,Malzemeler!C:D,2,0)</f>
        <v>0</v>
      </c>
      <c r="S68" s="43">
        <f t="shared" si="4"/>
        <v>0</v>
      </c>
    </row>
    <row r="69" spans="1:19" x14ac:dyDescent="0.35">
      <c r="A69" s="104"/>
      <c r="B69" s="1">
        <v>53</v>
      </c>
      <c r="C69" s="1" t="s">
        <v>698</v>
      </c>
      <c r="D69" s="1" t="s">
        <v>698</v>
      </c>
      <c r="E69" s="1" t="s">
        <v>698</v>
      </c>
      <c r="F69" s="1" t="s">
        <v>698</v>
      </c>
      <c r="G69" s="1" t="s">
        <v>698</v>
      </c>
      <c r="H69" s="1" t="s">
        <v>698</v>
      </c>
      <c r="I69" s="1" t="s">
        <v>698</v>
      </c>
      <c r="J69" s="1">
        <f t="shared" si="3"/>
        <v>1</v>
      </c>
      <c r="L69" s="1" t="s">
        <v>723</v>
      </c>
      <c r="M69" s="7">
        <v>64</v>
      </c>
      <c r="N69" s="5" t="s">
        <v>313</v>
      </c>
      <c r="O69" s="3" t="s">
        <v>314</v>
      </c>
      <c r="P69" s="3" t="s">
        <v>14</v>
      </c>
      <c r="Q69" s="3">
        <v>45.756842999999996</v>
      </c>
      <c r="R69" s="43">
        <f>VLOOKUP('53'!O69,Malzemeler!C:D,2,0)</f>
        <v>1.1399999999999999</v>
      </c>
      <c r="S69" s="43">
        <f t="shared" si="4"/>
        <v>52.162801019999989</v>
      </c>
    </row>
    <row r="70" spans="1:19" x14ac:dyDescent="0.35">
      <c r="A70" s="104"/>
      <c r="B70" s="1">
        <v>53</v>
      </c>
      <c r="C70" s="1" t="s">
        <v>698</v>
      </c>
      <c r="D70" s="1" t="s">
        <v>698</v>
      </c>
      <c r="E70" s="1" t="s">
        <v>698</v>
      </c>
      <c r="F70" s="1" t="s">
        <v>698</v>
      </c>
      <c r="G70" s="1" t="s">
        <v>698</v>
      </c>
      <c r="H70" s="1" t="s">
        <v>698</v>
      </c>
      <c r="I70" s="1" t="s">
        <v>698</v>
      </c>
      <c r="J70" s="1">
        <f t="shared" si="3"/>
        <v>1</v>
      </c>
      <c r="L70" s="1" t="s">
        <v>723</v>
      </c>
      <c r="M70" s="7">
        <v>65</v>
      </c>
      <c r="N70" s="5" t="s">
        <v>315</v>
      </c>
      <c r="O70" s="3" t="s">
        <v>316</v>
      </c>
      <c r="P70" s="3" t="s">
        <v>14</v>
      </c>
      <c r="Q70" s="3">
        <v>4</v>
      </c>
      <c r="R70" s="43">
        <f>VLOOKUP('53'!O70,Malzemeler!C:D,2,0)</f>
        <v>0.35</v>
      </c>
      <c r="S70" s="43">
        <f t="shared" si="4"/>
        <v>1.4</v>
      </c>
    </row>
    <row r="71" spans="1:19" x14ac:dyDescent="0.35">
      <c r="A71" s="104"/>
      <c r="B71" s="1">
        <v>53</v>
      </c>
      <c r="C71" s="1" t="s">
        <v>698</v>
      </c>
      <c r="D71" s="1" t="s">
        <v>698</v>
      </c>
      <c r="E71" s="1" t="s">
        <v>698</v>
      </c>
      <c r="F71" s="1" t="s">
        <v>698</v>
      </c>
      <c r="G71" s="1" t="s">
        <v>698</v>
      </c>
      <c r="H71" s="1" t="s">
        <v>698</v>
      </c>
      <c r="I71" s="1" t="s">
        <v>698</v>
      </c>
      <c r="J71" s="1">
        <f t="shared" si="3"/>
        <v>1</v>
      </c>
      <c r="L71" s="1" t="s">
        <v>723</v>
      </c>
      <c r="M71" s="7">
        <v>66</v>
      </c>
      <c r="N71" s="5" t="s">
        <v>317</v>
      </c>
      <c r="O71" s="3" t="s">
        <v>318</v>
      </c>
      <c r="P71" s="3" t="s">
        <v>14</v>
      </c>
      <c r="Q71" s="3">
        <v>98.845669999999984</v>
      </c>
      <c r="R71" s="43">
        <f>VLOOKUP('53'!O71,Malzemeler!C:D,2,0)</f>
        <v>0.35</v>
      </c>
      <c r="S71" s="43">
        <f t="shared" si="4"/>
        <v>34.595984499999993</v>
      </c>
    </row>
    <row r="72" spans="1:19" x14ac:dyDescent="0.35">
      <c r="A72" s="104"/>
      <c r="B72" s="1">
        <v>53</v>
      </c>
      <c r="C72" s="1" t="s">
        <v>698</v>
      </c>
      <c r="D72" s="1" t="s">
        <v>698</v>
      </c>
      <c r="E72" s="1" t="s">
        <v>698</v>
      </c>
      <c r="F72" s="1" t="s">
        <v>698</v>
      </c>
      <c r="G72" s="1" t="s">
        <v>698</v>
      </c>
      <c r="H72" s="1" t="s">
        <v>698</v>
      </c>
      <c r="I72" s="1" t="s">
        <v>698</v>
      </c>
      <c r="J72" s="1">
        <f t="shared" si="3"/>
        <v>1</v>
      </c>
      <c r="L72" s="1" t="s">
        <v>723</v>
      </c>
      <c r="M72" s="7">
        <v>67</v>
      </c>
      <c r="N72" s="5" t="s">
        <v>319</v>
      </c>
      <c r="O72" s="3" t="s">
        <v>320</v>
      </c>
      <c r="P72" s="3" t="s">
        <v>14</v>
      </c>
      <c r="Q72" s="3">
        <v>2</v>
      </c>
      <c r="R72" s="43">
        <f>VLOOKUP('53'!O72,Malzemeler!C:D,2,0)</f>
        <v>0.8</v>
      </c>
      <c r="S72" s="43">
        <f t="shared" si="4"/>
        <v>1.6</v>
      </c>
    </row>
    <row r="73" spans="1:19" x14ac:dyDescent="0.35">
      <c r="A73" s="104"/>
      <c r="B73" s="1">
        <v>53</v>
      </c>
      <c r="C73" s="1" t="s">
        <v>698</v>
      </c>
      <c r="D73" s="1" t="s">
        <v>698</v>
      </c>
      <c r="E73" s="1" t="s">
        <v>698</v>
      </c>
      <c r="F73" s="1" t="s">
        <v>698</v>
      </c>
      <c r="G73" s="1" t="s">
        <v>698</v>
      </c>
      <c r="H73" s="1" t="s">
        <v>698</v>
      </c>
      <c r="I73" s="1" t="s">
        <v>698</v>
      </c>
      <c r="J73" s="1">
        <f t="shared" si="3"/>
        <v>1</v>
      </c>
      <c r="L73" s="1" t="s">
        <v>723</v>
      </c>
      <c r="M73" s="7">
        <v>68</v>
      </c>
      <c r="N73" s="5" t="s">
        <v>321</v>
      </c>
      <c r="O73" s="3" t="s">
        <v>322</v>
      </c>
      <c r="P73" s="3" t="s">
        <v>14</v>
      </c>
      <c r="Q73" s="3">
        <v>291.58772499999998</v>
      </c>
      <c r="R73" s="43">
        <f>VLOOKUP('53'!O73,Malzemeler!C:D,2,0)</f>
        <v>0.21</v>
      </c>
      <c r="S73" s="43">
        <f t="shared" si="4"/>
        <v>61.23342224999999</v>
      </c>
    </row>
    <row r="74" spans="1:19" x14ac:dyDescent="0.35">
      <c r="A74" s="104"/>
      <c r="B74" s="1">
        <v>53</v>
      </c>
      <c r="C74" s="1" t="s">
        <v>698</v>
      </c>
      <c r="D74" s="1" t="s">
        <v>698</v>
      </c>
      <c r="E74" s="1" t="s">
        <v>698</v>
      </c>
      <c r="F74" s="1" t="s">
        <v>698</v>
      </c>
      <c r="G74" s="1" t="s">
        <v>698</v>
      </c>
      <c r="H74" s="1" t="s">
        <v>698</v>
      </c>
      <c r="I74" s="1" t="s">
        <v>698</v>
      </c>
      <c r="J74" s="1">
        <f t="shared" si="3"/>
        <v>1</v>
      </c>
      <c r="L74" s="1" t="s">
        <v>723</v>
      </c>
      <c r="M74" s="7">
        <v>69</v>
      </c>
      <c r="N74" s="5" t="s">
        <v>323</v>
      </c>
      <c r="O74" s="3" t="s">
        <v>324</v>
      </c>
      <c r="P74" s="3" t="s">
        <v>14</v>
      </c>
      <c r="Q74" s="3">
        <v>132</v>
      </c>
      <c r="R74" s="43">
        <f>VLOOKUP('53'!O74,Malzemeler!C:D,2,0)</f>
        <v>0.8</v>
      </c>
      <c r="S74" s="43">
        <f t="shared" si="4"/>
        <v>105.60000000000001</v>
      </c>
    </row>
    <row r="75" spans="1:19" x14ac:dyDescent="0.35">
      <c r="A75" s="104"/>
      <c r="B75" s="1">
        <v>53</v>
      </c>
      <c r="C75" s="1" t="s">
        <v>698</v>
      </c>
      <c r="D75" s="1" t="s">
        <v>698</v>
      </c>
      <c r="E75" s="1" t="s">
        <v>698</v>
      </c>
      <c r="F75" s="1" t="s">
        <v>698</v>
      </c>
      <c r="G75" s="1" t="s">
        <v>698</v>
      </c>
      <c r="H75" s="1" t="s">
        <v>698</v>
      </c>
      <c r="I75" s="1" t="s">
        <v>698</v>
      </c>
      <c r="J75" s="1">
        <f t="shared" si="3"/>
        <v>1</v>
      </c>
      <c r="L75" s="1" t="s">
        <v>723</v>
      </c>
      <c r="M75" s="7">
        <v>70</v>
      </c>
      <c r="N75" s="5" t="s">
        <v>325</v>
      </c>
      <c r="O75" s="3" t="s">
        <v>326</v>
      </c>
      <c r="P75" s="3" t="s">
        <v>14</v>
      </c>
      <c r="Q75" s="3">
        <v>132</v>
      </c>
      <c r="R75" s="43">
        <f>VLOOKUP('53'!O75,Malzemeler!C:D,2,0)</f>
        <v>0.17</v>
      </c>
      <c r="S75" s="43">
        <f t="shared" si="4"/>
        <v>22.44</v>
      </c>
    </row>
    <row r="76" spans="1:19" x14ac:dyDescent="0.35">
      <c r="A76" s="104"/>
      <c r="B76" s="1">
        <v>53</v>
      </c>
      <c r="C76" s="1" t="s">
        <v>698</v>
      </c>
      <c r="D76" s="1" t="s">
        <v>698</v>
      </c>
      <c r="E76" s="1" t="s">
        <v>698</v>
      </c>
      <c r="F76" s="1" t="s">
        <v>698</v>
      </c>
      <c r="G76" s="1" t="s">
        <v>698</v>
      </c>
      <c r="H76" s="1" t="s">
        <v>698</v>
      </c>
      <c r="I76" s="1" t="s">
        <v>698</v>
      </c>
      <c r="J76" s="1">
        <f t="shared" si="3"/>
        <v>1</v>
      </c>
      <c r="L76" s="1" t="s">
        <v>723</v>
      </c>
      <c r="M76" s="7">
        <v>71</v>
      </c>
      <c r="N76" s="5" t="s">
        <v>327</v>
      </c>
      <c r="O76" s="3" t="s">
        <v>328</v>
      </c>
      <c r="P76" s="3" t="s">
        <v>14</v>
      </c>
      <c r="Q76" s="3">
        <v>132</v>
      </c>
      <c r="R76" s="43">
        <f>VLOOKUP('53'!O76,Malzemeler!C:D,2,0)</f>
        <v>0.66</v>
      </c>
      <c r="S76" s="43">
        <f t="shared" si="4"/>
        <v>87.12</v>
      </c>
    </row>
    <row r="77" spans="1:19" x14ac:dyDescent="0.35">
      <c r="A77" s="104"/>
      <c r="B77" s="1">
        <v>53</v>
      </c>
      <c r="C77" s="1" t="s">
        <v>698</v>
      </c>
      <c r="D77" s="1" t="s">
        <v>698</v>
      </c>
      <c r="E77" s="1" t="s">
        <v>698</v>
      </c>
      <c r="F77" s="1" t="s">
        <v>698</v>
      </c>
      <c r="G77" s="1" t="s">
        <v>698</v>
      </c>
      <c r="H77" s="1" t="s">
        <v>698</v>
      </c>
      <c r="I77" s="1" t="s">
        <v>698</v>
      </c>
      <c r="J77" s="1">
        <f t="shared" si="3"/>
        <v>1</v>
      </c>
      <c r="L77" s="1" t="s">
        <v>723</v>
      </c>
      <c r="M77" s="7">
        <v>72</v>
      </c>
      <c r="N77" s="5" t="s">
        <v>329</v>
      </c>
      <c r="O77" s="3" t="s">
        <v>330</v>
      </c>
      <c r="P77" s="3" t="s">
        <v>14</v>
      </c>
      <c r="Q77" s="3">
        <v>132</v>
      </c>
      <c r="R77" s="43">
        <f>VLOOKUP('53'!O77,Malzemeler!C:D,2,0)</f>
        <v>0.28999999999999998</v>
      </c>
      <c r="S77" s="43">
        <f t="shared" si="4"/>
        <v>38.279999999999994</v>
      </c>
    </row>
    <row r="78" spans="1:19" x14ac:dyDescent="0.35">
      <c r="A78" s="104"/>
      <c r="B78" s="1">
        <v>53</v>
      </c>
      <c r="C78" s="1" t="s">
        <v>698</v>
      </c>
      <c r="D78" s="1" t="s">
        <v>698</v>
      </c>
      <c r="E78" s="1" t="s">
        <v>698</v>
      </c>
      <c r="F78" s="1" t="s">
        <v>698</v>
      </c>
      <c r="G78" s="1" t="s">
        <v>698</v>
      </c>
      <c r="H78" s="1" t="s">
        <v>698</v>
      </c>
      <c r="I78" s="1" t="s">
        <v>698</v>
      </c>
      <c r="J78" s="1">
        <f t="shared" si="3"/>
        <v>1</v>
      </c>
      <c r="L78" s="1" t="s">
        <v>723</v>
      </c>
      <c r="M78" s="7">
        <v>73</v>
      </c>
      <c r="N78" s="5" t="s">
        <v>331</v>
      </c>
      <c r="O78" s="3" t="s">
        <v>332</v>
      </c>
      <c r="P78" s="3" t="s">
        <v>14</v>
      </c>
      <c r="Q78" s="3">
        <v>132</v>
      </c>
      <c r="R78" s="43">
        <f>VLOOKUP('53'!O78,Malzemeler!C:D,2,0)</f>
        <v>0.28999999999999998</v>
      </c>
      <c r="S78" s="43">
        <f t="shared" si="4"/>
        <v>38.279999999999994</v>
      </c>
    </row>
    <row r="79" spans="1:19" x14ac:dyDescent="0.35">
      <c r="A79" s="104"/>
      <c r="B79" s="1">
        <v>53</v>
      </c>
      <c r="C79" s="1" t="s">
        <v>698</v>
      </c>
      <c r="D79" s="1" t="s">
        <v>698</v>
      </c>
      <c r="E79" s="1" t="s">
        <v>698</v>
      </c>
      <c r="F79" s="1" t="s">
        <v>698</v>
      </c>
      <c r="G79" s="1" t="s">
        <v>698</v>
      </c>
      <c r="H79" s="1" t="s">
        <v>698</v>
      </c>
      <c r="I79" s="1" t="s">
        <v>698</v>
      </c>
      <c r="J79" s="1">
        <f t="shared" si="3"/>
        <v>1</v>
      </c>
      <c r="L79" s="1" t="s">
        <v>723</v>
      </c>
      <c r="M79" s="7">
        <v>74</v>
      </c>
      <c r="N79" s="5" t="s">
        <v>333</v>
      </c>
      <c r="O79" s="3" t="s">
        <v>334</v>
      </c>
      <c r="P79" s="3" t="s">
        <v>14</v>
      </c>
      <c r="Q79" s="3">
        <v>0.74954976000000006</v>
      </c>
      <c r="R79" s="43">
        <f>VLOOKUP('53'!O79,Malzemeler!C:D,2,0)</f>
        <v>0.18</v>
      </c>
      <c r="S79" s="43">
        <f t="shared" si="4"/>
        <v>0.13491895680000002</v>
      </c>
    </row>
    <row r="80" spans="1:19" x14ac:dyDescent="0.35">
      <c r="A80" s="104"/>
      <c r="B80" s="1">
        <v>53</v>
      </c>
      <c r="C80" s="1" t="s">
        <v>698</v>
      </c>
      <c r="D80" s="1" t="s">
        <v>698</v>
      </c>
      <c r="E80" s="1" t="s">
        <v>698</v>
      </c>
      <c r="F80" s="1" t="s">
        <v>698</v>
      </c>
      <c r="G80" s="1" t="s">
        <v>698</v>
      </c>
      <c r="H80" s="1" t="s">
        <v>698</v>
      </c>
      <c r="I80" s="1" t="s">
        <v>698</v>
      </c>
      <c r="J80" s="1">
        <f t="shared" si="3"/>
        <v>1</v>
      </c>
      <c r="L80" s="1" t="s">
        <v>723</v>
      </c>
      <c r="M80" s="7">
        <v>75</v>
      </c>
      <c r="N80" s="5" t="s">
        <v>335</v>
      </c>
      <c r="O80" s="3" t="s">
        <v>336</v>
      </c>
      <c r="P80" s="3" t="s">
        <v>14</v>
      </c>
      <c r="Q80" s="3">
        <v>0.18738744000000002</v>
      </c>
      <c r="R80" s="43">
        <f>VLOOKUP('53'!O80,Malzemeler!C:D,2,0)</f>
        <v>0.26</v>
      </c>
      <c r="S80" s="43">
        <f t="shared" si="4"/>
        <v>4.8720734400000007E-2</v>
      </c>
    </row>
    <row r="81" spans="1:19" x14ac:dyDescent="0.35">
      <c r="A81" s="104"/>
      <c r="B81" s="1">
        <v>53</v>
      </c>
      <c r="C81" s="1" t="s">
        <v>698</v>
      </c>
      <c r="D81" s="1" t="s">
        <v>698</v>
      </c>
      <c r="E81" s="1" t="s">
        <v>698</v>
      </c>
      <c r="F81" s="1" t="s">
        <v>698</v>
      </c>
      <c r="G81" s="1" t="s">
        <v>698</v>
      </c>
      <c r="H81" s="1" t="s">
        <v>698</v>
      </c>
      <c r="I81" s="1" t="s">
        <v>698</v>
      </c>
      <c r="J81" s="1">
        <f t="shared" si="3"/>
        <v>1</v>
      </c>
      <c r="L81" s="1" t="s">
        <v>723</v>
      </c>
      <c r="M81" s="7">
        <v>76</v>
      </c>
      <c r="N81" s="5" t="s">
        <v>644</v>
      </c>
      <c r="O81" s="3" t="s">
        <v>662</v>
      </c>
      <c r="P81" s="3" t="s">
        <v>14</v>
      </c>
      <c r="Q81" s="3">
        <v>5</v>
      </c>
      <c r="R81" s="43">
        <f>VLOOKUP('53'!O81,Malzemeler!C:D,2,0)</f>
        <v>0</v>
      </c>
      <c r="S81" s="43">
        <f t="shared" si="4"/>
        <v>0</v>
      </c>
    </row>
    <row r="82" spans="1:19" x14ac:dyDescent="0.35">
      <c r="A82" s="104"/>
      <c r="B82" s="1">
        <v>53</v>
      </c>
      <c r="C82" s="1" t="s">
        <v>698</v>
      </c>
      <c r="D82" s="1" t="s">
        <v>698</v>
      </c>
      <c r="E82" s="1" t="s">
        <v>698</v>
      </c>
      <c r="F82" s="1" t="s">
        <v>698</v>
      </c>
      <c r="G82" s="1" t="s">
        <v>698</v>
      </c>
      <c r="H82" s="1" t="s">
        <v>698</v>
      </c>
      <c r="I82" s="1" t="s">
        <v>698</v>
      </c>
      <c r="J82" s="1">
        <f t="shared" si="3"/>
        <v>1</v>
      </c>
      <c r="L82" s="1" t="s">
        <v>723</v>
      </c>
      <c r="M82" s="7">
        <v>77</v>
      </c>
      <c r="N82" s="5" t="s">
        <v>645</v>
      </c>
      <c r="O82" s="3" t="s">
        <v>663</v>
      </c>
      <c r="P82" s="3" t="s">
        <v>14</v>
      </c>
      <c r="Q82" s="3">
        <v>70</v>
      </c>
      <c r="R82" s="43">
        <f>VLOOKUP('53'!O82,Malzemeler!C:D,2,0)</f>
        <v>0</v>
      </c>
      <c r="S82" s="43">
        <f t="shared" si="4"/>
        <v>0</v>
      </c>
    </row>
    <row r="83" spans="1:19" x14ac:dyDescent="0.35">
      <c r="A83" s="104"/>
      <c r="B83" s="1">
        <v>53</v>
      </c>
      <c r="C83" s="1" t="s">
        <v>698</v>
      </c>
      <c r="D83" s="1" t="s">
        <v>698</v>
      </c>
      <c r="E83" s="1" t="s">
        <v>698</v>
      </c>
      <c r="F83" s="1" t="s">
        <v>698</v>
      </c>
      <c r="G83" s="1" t="s">
        <v>698</v>
      </c>
      <c r="H83" s="1" t="s">
        <v>698</v>
      </c>
      <c r="I83" s="1" t="s">
        <v>698</v>
      </c>
      <c r="J83" s="1">
        <f t="shared" si="3"/>
        <v>1</v>
      </c>
      <c r="L83" s="1" t="s">
        <v>723</v>
      </c>
      <c r="M83" s="7">
        <v>78</v>
      </c>
      <c r="N83" s="5" t="s">
        <v>394</v>
      </c>
      <c r="O83" s="3" t="s">
        <v>395</v>
      </c>
      <c r="P83" s="3" t="s">
        <v>14</v>
      </c>
      <c r="Q83" s="3">
        <v>20</v>
      </c>
      <c r="R83" s="43">
        <f>VLOOKUP('53'!O83,Malzemeler!C:D,2,0)</f>
        <v>0.55000000000000004</v>
      </c>
      <c r="S83" s="43">
        <f t="shared" si="4"/>
        <v>11</v>
      </c>
    </row>
    <row r="84" spans="1:19" x14ac:dyDescent="0.35">
      <c r="A84" s="104"/>
      <c r="B84" s="1">
        <v>53</v>
      </c>
      <c r="C84" s="1" t="s">
        <v>698</v>
      </c>
      <c r="D84" s="1" t="s">
        <v>698</v>
      </c>
      <c r="E84" s="1" t="s">
        <v>698</v>
      </c>
      <c r="F84" s="1" t="s">
        <v>698</v>
      </c>
      <c r="G84" s="1" t="s">
        <v>698</v>
      </c>
      <c r="H84" s="1" t="s">
        <v>698</v>
      </c>
      <c r="I84" s="1" t="s">
        <v>698</v>
      </c>
      <c r="J84" s="1">
        <f t="shared" si="3"/>
        <v>1</v>
      </c>
      <c r="L84" s="1" t="s">
        <v>723</v>
      </c>
      <c r="M84" s="7">
        <v>79</v>
      </c>
      <c r="N84" s="5" t="s">
        <v>646</v>
      </c>
      <c r="O84" s="3" t="s">
        <v>664</v>
      </c>
      <c r="P84" s="3" t="s">
        <v>14</v>
      </c>
      <c r="Q84" s="3">
        <v>24</v>
      </c>
      <c r="R84" s="43">
        <f>VLOOKUP('53'!O84,Malzemeler!C:D,2,0)</f>
        <v>0</v>
      </c>
      <c r="S84" s="43">
        <f t="shared" si="4"/>
        <v>0</v>
      </c>
    </row>
    <row r="85" spans="1:19" x14ac:dyDescent="0.35">
      <c r="A85" s="104"/>
      <c r="B85" s="1">
        <v>53</v>
      </c>
      <c r="C85" s="1" t="s">
        <v>698</v>
      </c>
      <c r="D85" s="1" t="s">
        <v>698</v>
      </c>
      <c r="E85" s="1" t="s">
        <v>698</v>
      </c>
      <c r="F85" s="1" t="s">
        <v>698</v>
      </c>
      <c r="G85" s="1" t="s">
        <v>698</v>
      </c>
      <c r="H85" s="1" t="s">
        <v>698</v>
      </c>
      <c r="I85" s="1" t="s">
        <v>698</v>
      </c>
      <c r="J85" s="1">
        <f t="shared" si="3"/>
        <v>1</v>
      </c>
      <c r="L85" s="1" t="s">
        <v>723</v>
      </c>
      <c r="M85" s="7">
        <v>80</v>
      </c>
      <c r="N85" s="5" t="s">
        <v>337</v>
      </c>
      <c r="O85" s="3" t="s">
        <v>338</v>
      </c>
      <c r="P85" s="3" t="s">
        <v>14</v>
      </c>
      <c r="Q85" s="3">
        <v>312.223164</v>
      </c>
      <c r="R85" s="43">
        <f>VLOOKUP('53'!O85,Malzemeler!C:D,2,0)</f>
        <v>2.25</v>
      </c>
      <c r="S85" s="43">
        <f t="shared" si="4"/>
        <v>702.50211899999999</v>
      </c>
    </row>
    <row r="86" spans="1:19" x14ac:dyDescent="0.35">
      <c r="A86" s="104"/>
      <c r="B86" s="1">
        <v>53</v>
      </c>
      <c r="C86" s="1" t="s">
        <v>698</v>
      </c>
      <c r="D86" s="1" t="s">
        <v>698</v>
      </c>
      <c r="E86" s="1" t="s">
        <v>698</v>
      </c>
      <c r="F86" s="1" t="s">
        <v>698</v>
      </c>
      <c r="G86" s="1" t="s">
        <v>698</v>
      </c>
      <c r="H86" s="1" t="s">
        <v>698</v>
      </c>
      <c r="I86" s="1" t="s">
        <v>698</v>
      </c>
      <c r="J86" s="1">
        <f t="shared" si="3"/>
        <v>1</v>
      </c>
      <c r="L86" s="1" t="s">
        <v>723</v>
      </c>
      <c r="M86" s="7">
        <v>81</v>
      </c>
      <c r="N86" s="5" t="s">
        <v>647</v>
      </c>
      <c r="O86" s="3" t="s">
        <v>665</v>
      </c>
      <c r="P86" s="3" t="s">
        <v>14</v>
      </c>
      <c r="Q86" s="3">
        <v>40</v>
      </c>
      <c r="R86" s="43">
        <f>VLOOKUP('53'!O86,Malzemeler!C:D,2,0)</f>
        <v>0</v>
      </c>
      <c r="S86" s="43">
        <f t="shared" si="4"/>
        <v>0</v>
      </c>
    </row>
    <row r="87" spans="1:19" x14ac:dyDescent="0.35">
      <c r="A87" s="104"/>
      <c r="B87" s="1">
        <v>53</v>
      </c>
      <c r="C87" s="1" t="s">
        <v>698</v>
      </c>
      <c r="D87" s="1" t="s">
        <v>698</v>
      </c>
      <c r="E87" s="1" t="s">
        <v>698</v>
      </c>
      <c r="F87" s="1" t="s">
        <v>698</v>
      </c>
      <c r="G87" s="1" t="s">
        <v>698</v>
      </c>
      <c r="H87" s="1" t="s">
        <v>698</v>
      </c>
      <c r="I87" s="1" t="s">
        <v>698</v>
      </c>
      <c r="J87" s="1">
        <f t="shared" si="3"/>
        <v>1</v>
      </c>
      <c r="L87" s="1" t="s">
        <v>723</v>
      </c>
      <c r="M87" s="7">
        <v>82</v>
      </c>
      <c r="N87" s="5" t="s">
        <v>341</v>
      </c>
      <c r="O87" s="3" t="s">
        <v>342</v>
      </c>
      <c r="P87" s="3" t="s">
        <v>14</v>
      </c>
      <c r="Q87" s="3">
        <v>18.841052999999999</v>
      </c>
      <c r="R87" s="43">
        <f>VLOOKUP('53'!O87,Malzemeler!C:D,2,0)</f>
        <v>0.2</v>
      </c>
      <c r="S87" s="43">
        <f t="shared" si="4"/>
        <v>3.7682105999999997</v>
      </c>
    </row>
    <row r="88" spans="1:19" x14ac:dyDescent="0.35">
      <c r="A88" s="104"/>
      <c r="B88" s="1">
        <v>53</v>
      </c>
      <c r="C88" s="1" t="s">
        <v>698</v>
      </c>
      <c r="D88" s="1" t="s">
        <v>698</v>
      </c>
      <c r="E88" s="1" t="s">
        <v>698</v>
      </c>
      <c r="F88" s="1" t="s">
        <v>698</v>
      </c>
      <c r="G88" s="1" t="s">
        <v>698</v>
      </c>
      <c r="H88" s="1" t="s">
        <v>698</v>
      </c>
      <c r="I88" s="1" t="s">
        <v>698</v>
      </c>
      <c r="J88" s="1">
        <f t="shared" si="3"/>
        <v>1</v>
      </c>
      <c r="L88" s="1" t="s">
        <v>723</v>
      </c>
      <c r="M88" s="7">
        <v>83</v>
      </c>
      <c r="N88" s="5" t="s">
        <v>343</v>
      </c>
      <c r="O88" s="3" t="s">
        <v>344</v>
      </c>
      <c r="P88" s="3" t="s">
        <v>14</v>
      </c>
      <c r="Q88" s="3">
        <v>1</v>
      </c>
      <c r="R88" s="43">
        <f>VLOOKUP('53'!O88,Malzemeler!C:D,2,0)</f>
        <v>1</v>
      </c>
      <c r="S88" s="43">
        <f t="shared" si="4"/>
        <v>1</v>
      </c>
    </row>
    <row r="89" spans="1:19" x14ac:dyDescent="0.35">
      <c r="A89" s="104"/>
      <c r="B89" s="1">
        <v>53</v>
      </c>
      <c r="C89" s="1" t="s">
        <v>698</v>
      </c>
      <c r="D89" s="1" t="s">
        <v>698</v>
      </c>
      <c r="E89" s="1" t="s">
        <v>698</v>
      </c>
      <c r="F89" s="1" t="s">
        <v>698</v>
      </c>
      <c r="G89" s="1" t="s">
        <v>698</v>
      </c>
      <c r="H89" s="1" t="s">
        <v>698</v>
      </c>
      <c r="I89" s="1" t="s">
        <v>698</v>
      </c>
      <c r="J89" s="1">
        <f t="shared" si="3"/>
        <v>1</v>
      </c>
      <c r="L89" s="1" t="s">
        <v>723</v>
      </c>
      <c r="M89" s="7">
        <v>84</v>
      </c>
      <c r="N89" s="5" t="s">
        <v>396</v>
      </c>
      <c r="O89" s="3" t="s">
        <v>397</v>
      </c>
      <c r="P89" s="3" t="s">
        <v>14</v>
      </c>
      <c r="Q89" s="3">
        <v>2</v>
      </c>
      <c r="R89" s="43">
        <f>VLOOKUP('53'!O89,Malzemeler!C:D,2,0)</f>
        <v>3.52</v>
      </c>
      <c r="S89" s="43">
        <f t="shared" si="4"/>
        <v>7.04</v>
      </c>
    </row>
    <row r="90" spans="1:19" x14ac:dyDescent="0.35">
      <c r="A90" s="104"/>
      <c r="B90" s="1">
        <v>53</v>
      </c>
      <c r="C90" s="1" t="s">
        <v>698</v>
      </c>
      <c r="D90" s="1" t="s">
        <v>698</v>
      </c>
      <c r="E90" s="1" t="s">
        <v>698</v>
      </c>
      <c r="F90" s="1" t="s">
        <v>698</v>
      </c>
      <c r="G90" s="1" t="s">
        <v>698</v>
      </c>
      <c r="H90" s="1" t="s">
        <v>698</v>
      </c>
      <c r="I90" s="1" t="s">
        <v>698</v>
      </c>
      <c r="J90" s="1">
        <f t="shared" si="3"/>
        <v>1</v>
      </c>
      <c r="L90" s="1" t="s">
        <v>723</v>
      </c>
      <c r="M90" s="7">
        <v>85</v>
      </c>
      <c r="N90" s="5" t="s">
        <v>349</v>
      </c>
      <c r="O90" s="3" t="s">
        <v>350</v>
      </c>
      <c r="P90" s="3" t="s">
        <v>14</v>
      </c>
      <c r="Q90" s="3">
        <v>5</v>
      </c>
      <c r="R90" s="43">
        <f>VLOOKUP('53'!O90,Malzemeler!C:D,2,0)</f>
        <v>5.44</v>
      </c>
      <c r="S90" s="43">
        <f t="shared" si="4"/>
        <v>27.200000000000003</v>
      </c>
    </row>
    <row r="91" spans="1:19" x14ac:dyDescent="0.35">
      <c r="A91" s="104"/>
      <c r="B91" s="1">
        <v>53</v>
      </c>
      <c r="C91" s="1" t="s">
        <v>698</v>
      </c>
      <c r="D91" s="1" t="s">
        <v>698</v>
      </c>
      <c r="E91" s="1" t="s">
        <v>698</v>
      </c>
      <c r="F91" s="1" t="s">
        <v>698</v>
      </c>
      <c r="G91" s="1" t="s">
        <v>698</v>
      </c>
      <c r="H91" s="1" t="s">
        <v>698</v>
      </c>
      <c r="I91" s="1" t="s">
        <v>698</v>
      </c>
      <c r="J91" s="1">
        <f t="shared" si="3"/>
        <v>1</v>
      </c>
      <c r="L91" s="1" t="s">
        <v>723</v>
      </c>
      <c r="M91" s="7">
        <v>86</v>
      </c>
      <c r="N91" s="5" t="s">
        <v>351</v>
      </c>
      <c r="O91" s="3" t="s">
        <v>352</v>
      </c>
      <c r="P91" s="3" t="s">
        <v>14</v>
      </c>
      <c r="Q91" s="3">
        <v>40</v>
      </c>
      <c r="R91" s="43">
        <f>VLOOKUP('53'!O91,Malzemeler!C:D,2,0)</f>
        <v>2.98</v>
      </c>
      <c r="S91" s="43">
        <f t="shared" si="4"/>
        <v>119.2</v>
      </c>
    </row>
    <row r="92" spans="1:19" x14ac:dyDescent="0.35">
      <c r="A92" s="104"/>
      <c r="B92" s="1">
        <v>53</v>
      </c>
      <c r="C92" s="1" t="s">
        <v>698</v>
      </c>
      <c r="D92" s="1" t="s">
        <v>698</v>
      </c>
      <c r="E92" s="1" t="s">
        <v>698</v>
      </c>
      <c r="F92" s="1" t="s">
        <v>698</v>
      </c>
      <c r="G92" s="1" t="s">
        <v>698</v>
      </c>
      <c r="H92" s="1" t="s">
        <v>698</v>
      </c>
      <c r="I92" s="1" t="s">
        <v>698</v>
      </c>
      <c r="J92" s="1">
        <f t="shared" si="3"/>
        <v>1</v>
      </c>
      <c r="L92" s="1" t="s">
        <v>723</v>
      </c>
      <c r="M92" s="7">
        <v>87</v>
      </c>
      <c r="N92" s="5" t="s">
        <v>648</v>
      </c>
      <c r="O92" s="3" t="s">
        <v>648</v>
      </c>
      <c r="P92" s="3" t="s">
        <v>14</v>
      </c>
      <c r="Q92" s="3">
        <v>1</v>
      </c>
      <c r="R92" s="43">
        <f>VLOOKUP('53'!O92,Malzemeler!C:D,2,0)</f>
        <v>0</v>
      </c>
      <c r="S92" s="43">
        <f t="shared" si="4"/>
        <v>0</v>
      </c>
    </row>
    <row r="93" spans="1:19" x14ac:dyDescent="0.35">
      <c r="A93" s="104"/>
      <c r="B93" s="1">
        <v>53</v>
      </c>
      <c r="C93" s="1" t="s">
        <v>698</v>
      </c>
      <c r="D93" s="1" t="s">
        <v>698</v>
      </c>
      <c r="E93" s="1" t="s">
        <v>698</v>
      </c>
      <c r="F93" s="1" t="s">
        <v>698</v>
      </c>
      <c r="G93" s="1" t="s">
        <v>698</v>
      </c>
      <c r="H93" s="1" t="s">
        <v>698</v>
      </c>
      <c r="I93" s="1" t="s">
        <v>698</v>
      </c>
      <c r="J93" s="1">
        <f t="shared" si="3"/>
        <v>1</v>
      </c>
      <c r="L93" s="1" t="s">
        <v>723</v>
      </c>
      <c r="M93" s="7">
        <v>88</v>
      </c>
      <c r="N93" s="5" t="s">
        <v>649</v>
      </c>
      <c r="O93" s="3" t="s">
        <v>649</v>
      </c>
      <c r="P93" s="3" t="s">
        <v>14</v>
      </c>
      <c r="Q93" s="3">
        <v>5</v>
      </c>
      <c r="R93" s="43">
        <f>VLOOKUP('53'!O93,Malzemeler!C:D,2,0)</f>
        <v>0</v>
      </c>
      <c r="S93" s="43">
        <f t="shared" si="4"/>
        <v>0</v>
      </c>
    </row>
    <row r="94" spans="1:19" ht="15.6" customHeight="1" x14ac:dyDescent="0.35">
      <c r="A94" s="104"/>
      <c r="B94" s="1">
        <v>53</v>
      </c>
      <c r="C94" s="1" t="s">
        <v>698</v>
      </c>
      <c r="D94" s="1" t="s">
        <v>698</v>
      </c>
      <c r="E94" s="1" t="s">
        <v>698</v>
      </c>
      <c r="F94" s="1" t="s">
        <v>698</v>
      </c>
      <c r="G94" s="1" t="s">
        <v>698</v>
      </c>
      <c r="H94" s="1" t="s">
        <v>698</v>
      </c>
      <c r="I94" s="1" t="s">
        <v>698</v>
      </c>
      <c r="J94" s="1">
        <f t="shared" si="3"/>
        <v>1</v>
      </c>
      <c r="L94" s="1" t="s">
        <v>723</v>
      </c>
      <c r="M94" s="7">
        <v>89</v>
      </c>
      <c r="N94" s="5" t="s">
        <v>654</v>
      </c>
      <c r="O94" s="59" t="s">
        <v>654</v>
      </c>
      <c r="P94" s="3" t="s">
        <v>14</v>
      </c>
      <c r="Q94" s="3">
        <v>24</v>
      </c>
      <c r="R94" s="43">
        <f>VLOOKUP('53'!O94,Malzemeler!C:D,2,0)</f>
        <v>0</v>
      </c>
      <c r="S94" s="43">
        <f t="shared" si="4"/>
        <v>0</v>
      </c>
    </row>
    <row r="95" spans="1:19" x14ac:dyDescent="0.35">
      <c r="A95" s="104"/>
      <c r="B95" s="1">
        <v>53</v>
      </c>
      <c r="C95" s="1" t="s">
        <v>698</v>
      </c>
      <c r="D95" s="1" t="s">
        <v>698</v>
      </c>
      <c r="E95" s="1" t="s">
        <v>698</v>
      </c>
      <c r="F95" s="1" t="s">
        <v>698</v>
      </c>
      <c r="G95" s="1" t="s">
        <v>698</v>
      </c>
      <c r="H95" s="1" t="s">
        <v>698</v>
      </c>
      <c r="I95" s="1" t="s">
        <v>698</v>
      </c>
      <c r="J95" s="1">
        <f t="shared" si="3"/>
        <v>1</v>
      </c>
      <c r="L95" s="1" t="s">
        <v>723</v>
      </c>
      <c r="M95" s="7">
        <v>90</v>
      </c>
      <c r="N95" s="5" t="s">
        <v>731</v>
      </c>
      <c r="O95" s="3" t="s">
        <v>732</v>
      </c>
      <c r="P95" s="3" t="s">
        <v>14</v>
      </c>
      <c r="Q95" s="3">
        <v>98.4</v>
      </c>
      <c r="R95" s="43">
        <f>VLOOKUP('53'!O95,Malzemeler!C:D,2,0)</f>
        <v>0</v>
      </c>
      <c r="S95" s="43">
        <f t="shared" si="4"/>
        <v>0</v>
      </c>
    </row>
    <row r="96" spans="1:19" ht="15" customHeight="1" x14ac:dyDescent="0.35">
      <c r="A96" s="104" t="s">
        <v>722</v>
      </c>
      <c r="B96" s="1">
        <v>53</v>
      </c>
      <c r="C96" s="1" t="s">
        <v>698</v>
      </c>
      <c r="D96" s="1" t="s">
        <v>698</v>
      </c>
      <c r="E96" s="1" t="s">
        <v>698</v>
      </c>
      <c r="F96" s="1" t="s">
        <v>698</v>
      </c>
      <c r="G96" s="1" t="s">
        <v>698</v>
      </c>
      <c r="H96" s="1" t="s">
        <v>698</v>
      </c>
      <c r="I96" s="1" t="s">
        <v>698</v>
      </c>
      <c r="J96" s="1">
        <f t="shared" si="0"/>
        <v>1</v>
      </c>
      <c r="L96" s="1" t="s">
        <v>722</v>
      </c>
      <c r="M96" s="7">
        <v>1</v>
      </c>
      <c r="N96" s="5" t="s">
        <v>27</v>
      </c>
      <c r="O96" s="3" t="s">
        <v>28</v>
      </c>
      <c r="P96" s="3" t="s">
        <v>14</v>
      </c>
      <c r="Q96" s="3">
        <v>1</v>
      </c>
      <c r="R96" s="43">
        <f>VLOOKUP('53'!O96,Malzemeler!C:D,2,0)</f>
        <v>4.76</v>
      </c>
      <c r="S96" s="43">
        <f t="shared" si="4"/>
        <v>4.76</v>
      </c>
    </row>
    <row r="97" spans="1:19" x14ac:dyDescent="0.35">
      <c r="A97" s="104"/>
      <c r="B97" s="1">
        <v>53</v>
      </c>
      <c r="C97" s="1" t="s">
        <v>698</v>
      </c>
      <c r="D97" s="1" t="s">
        <v>698</v>
      </c>
      <c r="E97" s="1" t="s">
        <v>698</v>
      </c>
      <c r="F97" s="1" t="s">
        <v>698</v>
      </c>
      <c r="G97" s="1" t="s">
        <v>698</v>
      </c>
      <c r="H97" s="1" t="s">
        <v>698</v>
      </c>
      <c r="I97" s="1" t="s">
        <v>698</v>
      </c>
      <c r="J97" s="1">
        <f t="shared" si="0"/>
        <v>1</v>
      </c>
      <c r="L97" s="1" t="s">
        <v>722</v>
      </c>
      <c r="M97" s="7">
        <v>2</v>
      </c>
      <c r="N97" s="5" t="s">
        <v>29</v>
      </c>
      <c r="O97" s="3" t="s">
        <v>30</v>
      </c>
      <c r="P97" s="3" t="s">
        <v>14</v>
      </c>
      <c r="Q97" s="3">
        <v>1</v>
      </c>
      <c r="R97" s="43">
        <f>VLOOKUP('53'!O97,Malzemeler!C:D,2,0)</f>
        <v>4.76</v>
      </c>
      <c r="S97" s="43">
        <f t="shared" si="4"/>
        <v>4.76</v>
      </c>
    </row>
    <row r="98" spans="1:19" x14ac:dyDescent="0.35">
      <c r="A98" s="104"/>
      <c r="B98" s="1">
        <v>53</v>
      </c>
      <c r="C98" s="1" t="s">
        <v>698</v>
      </c>
      <c r="D98" s="1" t="s">
        <v>698</v>
      </c>
      <c r="E98" s="1" t="s">
        <v>698</v>
      </c>
      <c r="F98" s="1" t="s">
        <v>698</v>
      </c>
      <c r="G98" s="1" t="s">
        <v>698</v>
      </c>
      <c r="H98" s="1" t="s">
        <v>698</v>
      </c>
      <c r="I98" s="1" t="s">
        <v>698</v>
      </c>
      <c r="J98" s="1">
        <f t="shared" si="0"/>
        <v>1</v>
      </c>
      <c r="L98" s="1" t="s">
        <v>722</v>
      </c>
      <c r="M98" s="7">
        <v>3</v>
      </c>
      <c r="N98" s="5" t="s">
        <v>388</v>
      </c>
      <c r="O98" s="3" t="s">
        <v>543</v>
      </c>
      <c r="P98" s="3" t="s">
        <v>14</v>
      </c>
      <c r="Q98" s="3">
        <v>1</v>
      </c>
      <c r="R98" s="43">
        <f>VLOOKUP('53'!O98,Malzemeler!C:D,2,0)</f>
        <v>81.650000000000006</v>
      </c>
      <c r="S98" s="43">
        <f t="shared" si="4"/>
        <v>81.650000000000006</v>
      </c>
    </row>
    <row r="99" spans="1:19" x14ac:dyDescent="0.35">
      <c r="A99" s="104"/>
      <c r="B99" s="1">
        <v>53</v>
      </c>
      <c r="C99" s="1" t="s">
        <v>698</v>
      </c>
      <c r="D99" s="1" t="s">
        <v>698</v>
      </c>
      <c r="E99" s="1" t="s">
        <v>698</v>
      </c>
      <c r="F99" s="1" t="s">
        <v>698</v>
      </c>
      <c r="G99" s="1" t="s">
        <v>698</v>
      </c>
      <c r="H99" s="1" t="s">
        <v>698</v>
      </c>
      <c r="I99" s="1" t="s">
        <v>698</v>
      </c>
      <c r="J99" s="1">
        <f t="shared" si="0"/>
        <v>1</v>
      </c>
      <c r="L99" s="1" t="s">
        <v>722</v>
      </c>
      <c r="M99" s="7">
        <v>4</v>
      </c>
      <c r="N99" s="5" t="s">
        <v>389</v>
      </c>
      <c r="O99" s="3" t="s">
        <v>544</v>
      </c>
      <c r="P99" s="3" t="s">
        <v>14</v>
      </c>
      <c r="Q99" s="3">
        <v>1</v>
      </c>
      <c r="R99" s="43">
        <f>VLOOKUP('53'!O99,Malzemeler!C:D,2,0)</f>
        <v>81.650000000000006</v>
      </c>
      <c r="S99" s="43">
        <f t="shared" si="4"/>
        <v>81.650000000000006</v>
      </c>
    </row>
    <row r="100" spans="1:19" x14ac:dyDescent="0.35">
      <c r="A100" s="104"/>
      <c r="B100" s="1">
        <v>53</v>
      </c>
      <c r="C100" s="1" t="s">
        <v>698</v>
      </c>
      <c r="D100" s="1" t="s">
        <v>698</v>
      </c>
      <c r="E100" s="1" t="s">
        <v>698</v>
      </c>
      <c r="F100" s="1" t="s">
        <v>698</v>
      </c>
      <c r="G100" s="1" t="s">
        <v>698</v>
      </c>
      <c r="H100" s="1" t="s">
        <v>698</v>
      </c>
      <c r="I100" s="1" t="s">
        <v>698</v>
      </c>
      <c r="J100" s="1">
        <f t="shared" si="0"/>
        <v>1</v>
      </c>
      <c r="L100" s="1" t="s">
        <v>722</v>
      </c>
      <c r="M100" s="7">
        <v>5</v>
      </c>
      <c r="N100" s="5" t="s">
        <v>49</v>
      </c>
      <c r="O100" s="3" t="s">
        <v>50</v>
      </c>
      <c r="P100" s="3" t="s">
        <v>14</v>
      </c>
      <c r="Q100" s="3">
        <v>1</v>
      </c>
      <c r="R100" s="43">
        <f>VLOOKUP('53'!O100,Malzemeler!C:D,2,0)</f>
        <v>46.47</v>
      </c>
      <c r="S100" s="43">
        <f t="shared" si="4"/>
        <v>46.47</v>
      </c>
    </row>
    <row r="101" spans="1:19" x14ac:dyDescent="0.35">
      <c r="A101" s="104"/>
      <c r="B101" s="1">
        <v>53</v>
      </c>
      <c r="C101" s="1" t="s">
        <v>698</v>
      </c>
      <c r="D101" s="1" t="s">
        <v>698</v>
      </c>
      <c r="E101" s="1" t="s">
        <v>698</v>
      </c>
      <c r="F101" s="1" t="s">
        <v>698</v>
      </c>
      <c r="G101" s="1" t="s">
        <v>698</v>
      </c>
      <c r="H101" s="1" t="s">
        <v>698</v>
      </c>
      <c r="I101" s="1" t="s">
        <v>698</v>
      </c>
      <c r="J101" s="1">
        <f t="shared" si="0"/>
        <v>1</v>
      </c>
      <c r="L101" s="1" t="s">
        <v>722</v>
      </c>
      <c r="M101" s="7">
        <v>6</v>
      </c>
      <c r="N101" s="5" t="s">
        <v>51</v>
      </c>
      <c r="O101" s="3" t="s">
        <v>52</v>
      </c>
      <c r="P101" s="3" t="s">
        <v>14</v>
      </c>
      <c r="Q101" s="3">
        <v>1</v>
      </c>
      <c r="R101" s="43">
        <f>VLOOKUP('53'!O101,Malzemeler!C:D,2,0)</f>
        <v>74.48</v>
      </c>
      <c r="S101" s="43">
        <f t="shared" si="4"/>
        <v>74.48</v>
      </c>
    </row>
    <row r="102" spans="1:19" x14ac:dyDescent="0.35">
      <c r="A102" s="104"/>
      <c r="B102" s="1">
        <v>53</v>
      </c>
      <c r="C102" s="1" t="s">
        <v>698</v>
      </c>
      <c r="D102" s="1" t="s">
        <v>698</v>
      </c>
      <c r="E102" s="1" t="s">
        <v>698</v>
      </c>
      <c r="F102" s="1" t="s">
        <v>698</v>
      </c>
      <c r="G102" s="1" t="s">
        <v>698</v>
      </c>
      <c r="H102" s="1" t="s">
        <v>698</v>
      </c>
      <c r="I102" s="1" t="s">
        <v>698</v>
      </c>
      <c r="J102" s="1">
        <f t="shared" si="0"/>
        <v>1</v>
      </c>
      <c r="L102" s="1" t="s">
        <v>722</v>
      </c>
      <c r="M102" s="7">
        <v>7</v>
      </c>
      <c r="N102" s="5" t="s">
        <v>31</v>
      </c>
      <c r="O102" s="3" t="s">
        <v>32</v>
      </c>
      <c r="P102" s="3" t="s">
        <v>14</v>
      </c>
      <c r="Q102" s="3">
        <v>1</v>
      </c>
      <c r="R102" s="43">
        <f>VLOOKUP('53'!O102,Malzemeler!C:D,2,0)</f>
        <v>675.52</v>
      </c>
      <c r="S102" s="43">
        <f t="shared" si="4"/>
        <v>675.52</v>
      </c>
    </row>
    <row r="103" spans="1:19" x14ac:dyDescent="0.35">
      <c r="A103" s="104"/>
      <c r="B103" s="1">
        <v>53</v>
      </c>
      <c r="C103" s="1" t="s">
        <v>698</v>
      </c>
      <c r="D103" s="1" t="s">
        <v>698</v>
      </c>
      <c r="E103" s="1" t="s">
        <v>698</v>
      </c>
      <c r="F103" s="1" t="s">
        <v>698</v>
      </c>
      <c r="G103" s="1" t="s">
        <v>698</v>
      </c>
      <c r="H103" s="1" t="s">
        <v>698</v>
      </c>
      <c r="I103" s="1" t="s">
        <v>698</v>
      </c>
      <c r="J103" s="1">
        <f t="shared" si="0"/>
        <v>1</v>
      </c>
      <c r="L103" s="1" t="s">
        <v>722</v>
      </c>
      <c r="M103" s="7">
        <v>8</v>
      </c>
      <c r="N103" s="5" t="s">
        <v>33</v>
      </c>
      <c r="O103" s="3" t="s">
        <v>34</v>
      </c>
      <c r="P103" s="3" t="s">
        <v>14</v>
      </c>
      <c r="Q103" s="3">
        <v>1</v>
      </c>
      <c r="R103" s="43">
        <f>VLOOKUP('53'!O103,Malzemeler!C:D,2,0)</f>
        <v>23.17</v>
      </c>
      <c r="S103" s="43">
        <f t="shared" si="4"/>
        <v>23.17</v>
      </c>
    </row>
    <row r="104" spans="1:19" x14ac:dyDescent="0.35">
      <c r="A104" s="104"/>
      <c r="B104" s="1">
        <v>53</v>
      </c>
      <c r="C104" s="1" t="s">
        <v>698</v>
      </c>
      <c r="D104" s="1" t="s">
        <v>698</v>
      </c>
      <c r="E104" s="1" t="s">
        <v>698</v>
      </c>
      <c r="F104" s="1" t="s">
        <v>698</v>
      </c>
      <c r="G104" s="1" t="s">
        <v>698</v>
      </c>
      <c r="H104" s="1" t="s">
        <v>698</v>
      </c>
      <c r="I104" s="1" t="s">
        <v>698</v>
      </c>
      <c r="J104" s="1">
        <f t="shared" si="0"/>
        <v>1</v>
      </c>
      <c r="L104" s="1" t="s">
        <v>722</v>
      </c>
      <c r="M104" s="7">
        <v>9</v>
      </c>
      <c r="N104" s="1" t="s">
        <v>35</v>
      </c>
      <c r="O104" s="3" t="s">
        <v>36</v>
      </c>
      <c r="P104" s="3" t="s">
        <v>14</v>
      </c>
      <c r="Q104" s="3">
        <v>1</v>
      </c>
      <c r="R104" s="43">
        <f>VLOOKUP('53'!O104,Malzemeler!C:D,2,0)</f>
        <v>130.16</v>
      </c>
      <c r="S104" s="43">
        <f t="shared" si="4"/>
        <v>130.16</v>
      </c>
    </row>
    <row r="105" spans="1:19" x14ac:dyDescent="0.35">
      <c r="A105" s="104"/>
      <c r="B105" s="1">
        <v>53</v>
      </c>
      <c r="C105" s="1" t="s">
        <v>698</v>
      </c>
      <c r="D105" s="1" t="s">
        <v>698</v>
      </c>
      <c r="E105" s="1" t="s">
        <v>698</v>
      </c>
      <c r="F105" s="1" t="s">
        <v>698</v>
      </c>
      <c r="G105" s="1" t="s">
        <v>698</v>
      </c>
      <c r="H105" s="1" t="s">
        <v>698</v>
      </c>
      <c r="I105" s="1" t="s">
        <v>698</v>
      </c>
      <c r="J105" s="1">
        <f t="shared" si="0"/>
        <v>1</v>
      </c>
      <c r="L105" s="1" t="s">
        <v>722</v>
      </c>
      <c r="M105" s="7">
        <v>10</v>
      </c>
      <c r="N105" s="5" t="s">
        <v>37</v>
      </c>
      <c r="O105" s="3" t="s">
        <v>38</v>
      </c>
      <c r="P105" s="3" t="s">
        <v>14</v>
      </c>
      <c r="Q105" s="3">
        <v>1</v>
      </c>
      <c r="R105" s="43">
        <f>VLOOKUP('53'!O105,Malzemeler!C:D,2,0)</f>
        <v>130.16</v>
      </c>
      <c r="S105" s="43">
        <f t="shared" si="4"/>
        <v>130.16</v>
      </c>
    </row>
    <row r="106" spans="1:19" x14ac:dyDescent="0.35">
      <c r="A106" s="104"/>
      <c r="B106" s="1">
        <v>53</v>
      </c>
      <c r="C106" s="1" t="s">
        <v>698</v>
      </c>
      <c r="D106" s="1" t="s">
        <v>698</v>
      </c>
      <c r="E106" s="1" t="s">
        <v>698</v>
      </c>
      <c r="F106" s="1" t="s">
        <v>698</v>
      </c>
      <c r="G106" s="1" t="s">
        <v>698</v>
      </c>
      <c r="H106" s="1" t="s">
        <v>698</v>
      </c>
      <c r="I106" s="1" t="s">
        <v>698</v>
      </c>
      <c r="J106" s="1">
        <f t="shared" si="0"/>
        <v>1</v>
      </c>
      <c r="L106" s="1" t="s">
        <v>722</v>
      </c>
      <c r="M106" s="7">
        <v>11</v>
      </c>
      <c r="N106" s="5" t="s">
        <v>39</v>
      </c>
      <c r="O106" s="3" t="s">
        <v>40</v>
      </c>
      <c r="P106" s="3" t="s">
        <v>14</v>
      </c>
      <c r="Q106" s="3">
        <v>2</v>
      </c>
      <c r="R106" s="43">
        <f>VLOOKUP('53'!O106,Malzemeler!C:D,2,0)</f>
        <v>4.7300000000000004</v>
      </c>
      <c r="S106" s="43">
        <f t="shared" si="4"/>
        <v>9.4600000000000009</v>
      </c>
    </row>
    <row r="107" spans="1:19" x14ac:dyDescent="0.35">
      <c r="A107" s="104"/>
      <c r="B107" s="1">
        <v>53</v>
      </c>
      <c r="C107" s="1" t="s">
        <v>698</v>
      </c>
      <c r="D107" s="1" t="s">
        <v>698</v>
      </c>
      <c r="E107" s="1" t="s">
        <v>698</v>
      </c>
      <c r="F107" s="1" t="s">
        <v>698</v>
      </c>
      <c r="G107" s="1" t="s">
        <v>698</v>
      </c>
      <c r="H107" s="1" t="s">
        <v>698</v>
      </c>
      <c r="I107" s="1" t="s">
        <v>698</v>
      </c>
      <c r="J107" s="1">
        <f t="shared" si="0"/>
        <v>1</v>
      </c>
      <c r="L107" s="1" t="s">
        <v>722</v>
      </c>
      <c r="M107" s="7">
        <v>12</v>
      </c>
      <c r="N107" s="5" t="s">
        <v>41</v>
      </c>
      <c r="O107" s="3" t="s">
        <v>42</v>
      </c>
      <c r="P107" s="3" t="s">
        <v>14</v>
      </c>
      <c r="Q107" s="3">
        <v>2</v>
      </c>
      <c r="R107" s="43">
        <f>VLOOKUP('53'!O107,Malzemeler!C:D,2,0)</f>
        <v>155.05000000000001</v>
      </c>
      <c r="S107" s="43">
        <f t="shared" si="4"/>
        <v>310.10000000000002</v>
      </c>
    </row>
    <row r="108" spans="1:19" x14ac:dyDescent="0.35">
      <c r="A108" s="104"/>
      <c r="B108" s="1">
        <v>53</v>
      </c>
      <c r="C108" s="1" t="s">
        <v>698</v>
      </c>
      <c r="D108" s="1" t="s">
        <v>698</v>
      </c>
      <c r="E108" s="1" t="s">
        <v>698</v>
      </c>
      <c r="F108" s="1" t="s">
        <v>698</v>
      </c>
      <c r="G108" s="1" t="s">
        <v>698</v>
      </c>
      <c r="H108" s="1" t="s">
        <v>698</v>
      </c>
      <c r="I108" s="1" t="s">
        <v>698</v>
      </c>
      <c r="J108" s="1">
        <f t="shared" si="0"/>
        <v>1</v>
      </c>
      <c r="L108" s="1" t="s">
        <v>722</v>
      </c>
      <c r="M108" s="7">
        <v>13</v>
      </c>
      <c r="N108" s="5" t="s">
        <v>43</v>
      </c>
      <c r="O108" s="3" t="s">
        <v>44</v>
      </c>
      <c r="P108" s="3" t="s">
        <v>14</v>
      </c>
      <c r="Q108" s="3">
        <v>1</v>
      </c>
      <c r="R108" s="43">
        <f>VLOOKUP('53'!O108,Malzemeler!C:D,2,0)</f>
        <v>238.61</v>
      </c>
      <c r="S108" s="43">
        <f t="shared" si="4"/>
        <v>238.61</v>
      </c>
    </row>
    <row r="109" spans="1:19" x14ac:dyDescent="0.35">
      <c r="A109" s="104"/>
      <c r="B109" s="1">
        <v>53</v>
      </c>
      <c r="C109" s="1" t="s">
        <v>698</v>
      </c>
      <c r="D109" s="1" t="s">
        <v>698</v>
      </c>
      <c r="E109" s="1" t="s">
        <v>698</v>
      </c>
      <c r="F109" s="1" t="s">
        <v>698</v>
      </c>
      <c r="G109" s="1" t="s">
        <v>698</v>
      </c>
      <c r="H109" s="1" t="s">
        <v>698</v>
      </c>
      <c r="I109" s="1" t="s">
        <v>698</v>
      </c>
      <c r="J109" s="1">
        <f t="shared" si="0"/>
        <v>1</v>
      </c>
      <c r="L109" s="1" t="s">
        <v>722</v>
      </c>
      <c r="M109" s="7">
        <v>14</v>
      </c>
      <c r="N109" s="5" t="s">
        <v>45</v>
      </c>
      <c r="O109" s="3" t="s">
        <v>46</v>
      </c>
      <c r="P109" s="3" t="s">
        <v>14</v>
      </c>
      <c r="Q109" s="3">
        <v>1</v>
      </c>
      <c r="R109" s="43">
        <f>VLOOKUP('53'!O109,Malzemeler!C:D,2,0)</f>
        <v>10.84</v>
      </c>
      <c r="S109" s="43">
        <f t="shared" si="4"/>
        <v>10.84</v>
      </c>
    </row>
    <row r="110" spans="1:19" x14ac:dyDescent="0.35">
      <c r="A110" s="104"/>
      <c r="B110" s="1">
        <v>53</v>
      </c>
      <c r="C110" s="1" t="s">
        <v>698</v>
      </c>
      <c r="D110" s="1" t="s">
        <v>698</v>
      </c>
      <c r="E110" s="1" t="s">
        <v>698</v>
      </c>
      <c r="F110" s="1" t="s">
        <v>698</v>
      </c>
      <c r="G110" s="1" t="s">
        <v>698</v>
      </c>
      <c r="H110" s="1" t="s">
        <v>698</v>
      </c>
      <c r="I110" s="1" t="s">
        <v>698</v>
      </c>
      <c r="J110" s="1">
        <f t="shared" si="0"/>
        <v>1</v>
      </c>
      <c r="L110" s="1" t="s">
        <v>722</v>
      </c>
      <c r="M110" s="7">
        <v>15</v>
      </c>
      <c r="N110" s="5" t="s">
        <v>47</v>
      </c>
      <c r="O110" s="3" t="s">
        <v>48</v>
      </c>
      <c r="P110" s="3" t="s">
        <v>14</v>
      </c>
      <c r="Q110" s="3">
        <v>1</v>
      </c>
      <c r="R110" s="43">
        <f>VLOOKUP('53'!O110,Malzemeler!C:D,2,0)</f>
        <v>22.83</v>
      </c>
      <c r="S110" s="43">
        <f t="shared" si="4"/>
        <v>22.83</v>
      </c>
    </row>
    <row r="111" spans="1:19" x14ac:dyDescent="0.35">
      <c r="A111" s="104"/>
      <c r="B111" s="1">
        <v>53</v>
      </c>
      <c r="C111" s="1" t="s">
        <v>698</v>
      </c>
      <c r="D111" s="1" t="s">
        <v>698</v>
      </c>
      <c r="E111" s="1" t="s">
        <v>698</v>
      </c>
      <c r="F111" s="1" t="s">
        <v>698</v>
      </c>
      <c r="G111" s="1" t="s">
        <v>698</v>
      </c>
      <c r="H111" s="1" t="s">
        <v>698</v>
      </c>
      <c r="I111" s="1" t="s">
        <v>698</v>
      </c>
      <c r="J111" s="1">
        <f t="shared" si="0"/>
        <v>1</v>
      </c>
      <c r="L111" s="1" t="s">
        <v>722</v>
      </c>
      <c r="M111" s="7">
        <v>16</v>
      </c>
      <c r="N111" s="5" t="s">
        <v>593</v>
      </c>
      <c r="O111" s="3" t="s">
        <v>592</v>
      </c>
      <c r="P111" s="3" t="s">
        <v>14</v>
      </c>
      <c r="Q111" s="3">
        <v>1</v>
      </c>
      <c r="R111" s="43">
        <f>VLOOKUP('53'!O111,Malzemeler!C:D,2,0)</f>
        <v>0</v>
      </c>
      <c r="S111" s="43">
        <f t="shared" si="4"/>
        <v>0</v>
      </c>
    </row>
    <row r="112" spans="1:19" x14ac:dyDescent="0.35">
      <c r="A112" s="104"/>
      <c r="B112" s="1">
        <v>53</v>
      </c>
      <c r="C112" s="1" t="s">
        <v>698</v>
      </c>
      <c r="D112" s="1" t="s">
        <v>698</v>
      </c>
      <c r="E112" s="1" t="s">
        <v>698</v>
      </c>
      <c r="F112" s="1" t="s">
        <v>698</v>
      </c>
      <c r="G112" s="1" t="s">
        <v>698</v>
      </c>
      <c r="H112" s="1" t="s">
        <v>698</v>
      </c>
      <c r="I112" s="1" t="s">
        <v>698</v>
      </c>
      <c r="J112" s="1">
        <f t="shared" si="0"/>
        <v>1</v>
      </c>
      <c r="L112" s="1" t="s">
        <v>722</v>
      </c>
      <c r="M112" s="7">
        <v>17</v>
      </c>
      <c r="N112" s="5" t="s">
        <v>594</v>
      </c>
      <c r="O112" s="3" t="s">
        <v>595</v>
      </c>
      <c r="P112" s="3" t="s">
        <v>14</v>
      </c>
      <c r="Q112" s="3">
        <v>1</v>
      </c>
      <c r="R112" s="43">
        <f>VLOOKUP('53'!O112,Malzemeler!C:D,2,0)</f>
        <v>0</v>
      </c>
      <c r="S112" s="43">
        <f t="shared" si="4"/>
        <v>0</v>
      </c>
    </row>
    <row r="113" spans="1:20" x14ac:dyDescent="0.35">
      <c r="A113" s="104"/>
      <c r="B113" s="1">
        <v>53</v>
      </c>
      <c r="C113" s="1" t="s">
        <v>698</v>
      </c>
      <c r="D113" s="1" t="s">
        <v>698</v>
      </c>
      <c r="E113" s="1" t="s">
        <v>698</v>
      </c>
      <c r="F113" s="1" t="s">
        <v>698</v>
      </c>
      <c r="G113" s="1" t="s">
        <v>698</v>
      </c>
      <c r="H113" s="1" t="s">
        <v>698</v>
      </c>
      <c r="I113" s="1" t="s">
        <v>698</v>
      </c>
      <c r="J113" s="1">
        <f t="shared" si="0"/>
        <v>1</v>
      </c>
      <c r="L113" s="1" t="s">
        <v>722</v>
      </c>
      <c r="M113" s="7">
        <v>18</v>
      </c>
      <c r="N113" s="5" t="s">
        <v>632</v>
      </c>
      <c r="O113" s="3" t="s">
        <v>650</v>
      </c>
      <c r="P113" s="3" t="s">
        <v>14</v>
      </c>
      <c r="Q113" s="3">
        <v>1</v>
      </c>
      <c r="R113" s="43">
        <f>VLOOKUP('53'!O113,Malzemeler!C:D,2,0)</f>
        <v>0</v>
      </c>
      <c r="S113" s="43">
        <f t="shared" si="4"/>
        <v>0</v>
      </c>
    </row>
    <row r="114" spans="1:20" x14ac:dyDescent="0.35">
      <c r="A114" s="104"/>
      <c r="B114" s="1">
        <v>53</v>
      </c>
      <c r="C114" s="1" t="s">
        <v>698</v>
      </c>
      <c r="D114" s="1" t="s">
        <v>698</v>
      </c>
      <c r="E114" s="1" t="s">
        <v>698</v>
      </c>
      <c r="F114" s="1" t="s">
        <v>698</v>
      </c>
      <c r="G114" s="1" t="s">
        <v>698</v>
      </c>
      <c r="H114" s="1" t="s">
        <v>698</v>
      </c>
      <c r="I114" s="1" t="s">
        <v>698</v>
      </c>
      <c r="J114" s="1">
        <f t="shared" si="0"/>
        <v>1</v>
      </c>
      <c r="L114" s="1" t="s">
        <v>722</v>
      </c>
      <c r="M114" s="7">
        <v>19</v>
      </c>
      <c r="N114" s="5" t="s">
        <v>598</v>
      </c>
      <c r="O114" s="3" t="s">
        <v>597</v>
      </c>
      <c r="P114" s="3" t="s">
        <v>14</v>
      </c>
      <c r="Q114" s="3">
        <v>1</v>
      </c>
      <c r="R114" s="43">
        <f>VLOOKUP('53'!O114,Malzemeler!C:D,2,0)</f>
        <v>0</v>
      </c>
      <c r="S114" s="43">
        <f t="shared" si="4"/>
        <v>0</v>
      </c>
    </row>
    <row r="115" spans="1:20" x14ac:dyDescent="0.35">
      <c r="A115" s="104"/>
      <c r="B115" s="1">
        <v>53</v>
      </c>
      <c r="C115" s="1" t="s">
        <v>698</v>
      </c>
      <c r="D115" s="1" t="s">
        <v>698</v>
      </c>
      <c r="E115" s="1" t="s">
        <v>698</v>
      </c>
      <c r="F115" s="1" t="s">
        <v>698</v>
      </c>
      <c r="G115" s="1" t="s">
        <v>698</v>
      </c>
      <c r="H115" s="1" t="s">
        <v>698</v>
      </c>
      <c r="I115" s="1" t="s">
        <v>698</v>
      </c>
      <c r="J115" s="1">
        <f t="shared" si="0"/>
        <v>1</v>
      </c>
      <c r="L115" s="1" t="s">
        <v>722</v>
      </c>
      <c r="M115" s="7">
        <v>20</v>
      </c>
      <c r="N115" s="5" t="s">
        <v>631</v>
      </c>
      <c r="O115" s="3" t="s">
        <v>630</v>
      </c>
      <c r="P115" s="3" t="s">
        <v>14</v>
      </c>
      <c r="Q115" s="3">
        <v>1</v>
      </c>
      <c r="R115" s="43">
        <f>VLOOKUP('53'!O115,Malzemeler!C:D,2,0)</f>
        <v>0</v>
      </c>
      <c r="S115" s="43">
        <f t="shared" si="4"/>
        <v>0</v>
      </c>
    </row>
    <row r="116" spans="1:20" x14ac:dyDescent="0.35">
      <c r="A116" s="104"/>
      <c r="B116" s="1">
        <v>53</v>
      </c>
      <c r="C116" s="1" t="s">
        <v>698</v>
      </c>
      <c r="D116" s="1" t="s">
        <v>698</v>
      </c>
      <c r="E116" s="1" t="s">
        <v>698</v>
      </c>
      <c r="F116" s="1" t="s">
        <v>698</v>
      </c>
      <c r="G116" s="1" t="s">
        <v>698</v>
      </c>
      <c r="H116" s="1" t="s">
        <v>698</v>
      </c>
      <c r="I116" s="1" t="s">
        <v>698</v>
      </c>
      <c r="J116" s="1">
        <f t="shared" si="0"/>
        <v>1</v>
      </c>
      <c r="L116" s="1" t="s">
        <v>722</v>
      </c>
      <c r="M116" s="7">
        <v>21</v>
      </c>
      <c r="N116" s="5" t="s">
        <v>678</v>
      </c>
      <c r="O116" s="3" t="s">
        <v>679</v>
      </c>
      <c r="P116" s="3" t="s">
        <v>14</v>
      </c>
      <c r="Q116" s="3">
        <v>1</v>
      </c>
      <c r="R116" s="43">
        <f>VLOOKUP('53'!O116,Malzemeler!C:D,2,0)</f>
        <v>0</v>
      </c>
      <c r="S116" s="43">
        <f t="shared" si="4"/>
        <v>0</v>
      </c>
      <c r="T116" s="3"/>
    </row>
    <row r="117" spans="1:20" x14ac:dyDescent="0.35">
      <c r="A117" s="104"/>
      <c r="B117" s="1">
        <v>53</v>
      </c>
      <c r="C117" s="1" t="s">
        <v>698</v>
      </c>
      <c r="D117" s="1" t="s">
        <v>698</v>
      </c>
      <c r="E117" s="1" t="s">
        <v>698</v>
      </c>
      <c r="F117" s="1" t="s">
        <v>698</v>
      </c>
      <c r="G117" s="1" t="s">
        <v>698</v>
      </c>
      <c r="H117" s="1" t="s">
        <v>698</v>
      </c>
      <c r="I117" s="1" t="s">
        <v>698</v>
      </c>
      <c r="J117" s="1">
        <f t="shared" si="0"/>
        <v>1</v>
      </c>
      <c r="L117" s="1" t="s">
        <v>722</v>
      </c>
      <c r="M117" s="7">
        <v>22</v>
      </c>
      <c r="N117" s="5" t="s">
        <v>147</v>
      </c>
      <c r="O117" s="3" t="s">
        <v>263</v>
      </c>
      <c r="P117" s="3" t="s">
        <v>14</v>
      </c>
      <c r="Q117" s="3">
        <v>2</v>
      </c>
      <c r="R117" s="43">
        <f>VLOOKUP('53'!O117,Malzemeler!C:D,2,0)</f>
        <v>20</v>
      </c>
      <c r="S117" s="43">
        <f t="shared" si="4"/>
        <v>40</v>
      </c>
    </row>
    <row r="118" spans="1:20" x14ac:dyDescent="0.35">
      <c r="A118" s="104"/>
      <c r="B118" s="1">
        <v>53</v>
      </c>
      <c r="C118" s="1" t="s">
        <v>698</v>
      </c>
      <c r="D118" s="1" t="s">
        <v>698</v>
      </c>
      <c r="E118" s="1" t="s">
        <v>698</v>
      </c>
      <c r="F118" s="1" t="s">
        <v>698</v>
      </c>
      <c r="G118" s="1" t="s">
        <v>698</v>
      </c>
      <c r="H118" s="1" t="s">
        <v>698</v>
      </c>
      <c r="I118" s="1" t="s">
        <v>698</v>
      </c>
      <c r="J118" s="1">
        <f t="shared" si="0"/>
        <v>1</v>
      </c>
      <c r="L118" s="1" t="s">
        <v>722</v>
      </c>
      <c r="M118" s="7">
        <v>23</v>
      </c>
      <c r="N118" s="5" t="s">
        <v>219</v>
      </c>
      <c r="O118" s="3" t="s">
        <v>220</v>
      </c>
      <c r="P118" s="3" t="s">
        <v>14</v>
      </c>
      <c r="Q118" s="3">
        <v>1</v>
      </c>
      <c r="R118" s="43">
        <f>VLOOKUP('53'!O118,Malzemeler!C:D,2,0)</f>
        <v>85.4</v>
      </c>
      <c r="S118" s="43">
        <f t="shared" si="4"/>
        <v>85.4</v>
      </c>
      <c r="T118" s="4"/>
    </row>
    <row r="119" spans="1:20" x14ac:dyDescent="0.35">
      <c r="A119" s="104"/>
      <c r="B119" s="1">
        <v>53</v>
      </c>
      <c r="C119" s="1" t="s">
        <v>698</v>
      </c>
      <c r="D119" s="1" t="s">
        <v>698</v>
      </c>
      <c r="E119" s="1" t="s">
        <v>698</v>
      </c>
      <c r="F119" s="1" t="s">
        <v>698</v>
      </c>
      <c r="G119" s="1" t="s">
        <v>698</v>
      </c>
      <c r="H119" s="1" t="s">
        <v>698</v>
      </c>
      <c r="I119" s="1" t="s">
        <v>698</v>
      </c>
      <c r="J119" s="1">
        <f t="shared" si="0"/>
        <v>1</v>
      </c>
      <c r="L119" s="1" t="s">
        <v>722</v>
      </c>
      <c r="M119" s="7">
        <v>24</v>
      </c>
      <c r="N119" s="5" t="s">
        <v>584</v>
      </c>
      <c r="O119" s="3" t="s">
        <v>585</v>
      </c>
      <c r="P119" s="3" t="s">
        <v>14</v>
      </c>
      <c r="Q119" s="3">
        <v>1</v>
      </c>
      <c r="R119" s="43">
        <f>VLOOKUP('53'!O119,Malzemeler!C:D,2,0)</f>
        <v>72.290000000000006</v>
      </c>
      <c r="S119" s="43">
        <f t="shared" si="4"/>
        <v>72.290000000000006</v>
      </c>
      <c r="T119" s="8"/>
    </row>
    <row r="120" spans="1:20" x14ac:dyDescent="0.35">
      <c r="A120" s="104"/>
      <c r="B120" s="1">
        <v>53</v>
      </c>
      <c r="C120" s="1" t="s">
        <v>698</v>
      </c>
      <c r="D120" s="1" t="s">
        <v>698</v>
      </c>
      <c r="E120" s="1" t="s">
        <v>698</v>
      </c>
      <c r="F120" s="1" t="s">
        <v>698</v>
      </c>
      <c r="G120" s="1" t="s">
        <v>698</v>
      </c>
      <c r="H120" s="1" t="s">
        <v>698</v>
      </c>
      <c r="I120" s="1" t="s">
        <v>698</v>
      </c>
      <c r="J120" s="1">
        <f t="shared" si="0"/>
        <v>1</v>
      </c>
      <c r="L120" s="1" t="s">
        <v>722</v>
      </c>
      <c r="M120" s="7">
        <v>25</v>
      </c>
      <c r="N120" s="5" t="s">
        <v>589</v>
      </c>
      <c r="O120" s="3" t="s">
        <v>596</v>
      </c>
      <c r="P120" s="3" t="s">
        <v>14</v>
      </c>
      <c r="Q120" s="3">
        <v>2</v>
      </c>
      <c r="R120" s="43">
        <f>VLOOKUP('53'!O120,Malzemeler!C:D,2,0)</f>
        <v>59.21</v>
      </c>
      <c r="S120" s="43">
        <f t="shared" si="4"/>
        <v>118.42</v>
      </c>
      <c r="T120" s="3"/>
    </row>
    <row r="121" spans="1:20" x14ac:dyDescent="0.35">
      <c r="A121" s="104"/>
      <c r="B121" s="1">
        <v>53</v>
      </c>
      <c r="C121" s="1" t="s">
        <v>698</v>
      </c>
      <c r="D121" s="1" t="s">
        <v>698</v>
      </c>
      <c r="E121" s="1" t="s">
        <v>698</v>
      </c>
      <c r="F121" s="1" t="s">
        <v>698</v>
      </c>
      <c r="G121" s="1" t="s">
        <v>698</v>
      </c>
      <c r="H121" s="1" t="s">
        <v>698</v>
      </c>
      <c r="I121" s="1" t="s">
        <v>698</v>
      </c>
      <c r="J121" s="1">
        <f t="shared" si="0"/>
        <v>1</v>
      </c>
      <c r="L121" s="1" t="s">
        <v>722</v>
      </c>
      <c r="M121" s="7">
        <v>26</v>
      </c>
      <c r="N121" s="5" t="s">
        <v>53</v>
      </c>
      <c r="O121" s="3" t="s">
        <v>56</v>
      </c>
      <c r="P121" s="3" t="s">
        <v>14</v>
      </c>
      <c r="Q121" s="3">
        <v>1</v>
      </c>
      <c r="R121" s="43">
        <f>VLOOKUP('53'!O121,Malzemeler!C:D,2,0)</f>
        <v>65.58</v>
      </c>
      <c r="S121" s="43">
        <f t="shared" si="4"/>
        <v>65.58</v>
      </c>
    </row>
    <row r="122" spans="1:20" x14ac:dyDescent="0.35">
      <c r="A122" s="104"/>
      <c r="B122" s="1">
        <v>53</v>
      </c>
      <c r="C122" s="1" t="s">
        <v>698</v>
      </c>
      <c r="D122" s="1" t="s">
        <v>698</v>
      </c>
      <c r="E122" s="1" t="s">
        <v>698</v>
      </c>
      <c r="F122" s="1" t="s">
        <v>698</v>
      </c>
      <c r="G122" s="1" t="s">
        <v>698</v>
      </c>
      <c r="H122" s="1" t="s">
        <v>698</v>
      </c>
      <c r="I122" s="1" t="s">
        <v>698</v>
      </c>
      <c r="J122" s="1">
        <f t="shared" si="0"/>
        <v>1</v>
      </c>
      <c r="L122" s="1" t="s">
        <v>722</v>
      </c>
      <c r="M122" s="7">
        <v>27</v>
      </c>
      <c r="N122" s="5" t="s">
        <v>54</v>
      </c>
      <c r="O122" s="3" t="s">
        <v>57</v>
      </c>
      <c r="P122" s="3" t="s">
        <v>14</v>
      </c>
      <c r="Q122" s="3">
        <v>1</v>
      </c>
      <c r="R122" s="43">
        <f>VLOOKUP('53'!O122,Malzemeler!C:D,2,0)</f>
        <v>77.55</v>
      </c>
      <c r="S122" s="43">
        <f t="shared" si="4"/>
        <v>77.55</v>
      </c>
    </row>
    <row r="123" spans="1:20" x14ac:dyDescent="0.35">
      <c r="A123" s="104"/>
      <c r="B123" s="1">
        <v>53</v>
      </c>
      <c r="C123" s="1" t="s">
        <v>698</v>
      </c>
      <c r="D123" s="1" t="s">
        <v>698</v>
      </c>
      <c r="E123" s="1" t="s">
        <v>698</v>
      </c>
      <c r="F123" s="1" t="s">
        <v>698</v>
      </c>
      <c r="G123" s="1" t="s">
        <v>698</v>
      </c>
      <c r="H123" s="1" t="s">
        <v>698</v>
      </c>
      <c r="I123" s="1" t="s">
        <v>698</v>
      </c>
      <c r="J123" s="1">
        <f t="shared" si="0"/>
        <v>1</v>
      </c>
      <c r="L123" s="1" t="s">
        <v>722</v>
      </c>
      <c r="M123" s="7">
        <v>28</v>
      </c>
      <c r="N123" s="5" t="s">
        <v>392</v>
      </c>
      <c r="O123" s="3" t="s">
        <v>302</v>
      </c>
      <c r="P123" s="3" t="s">
        <v>14</v>
      </c>
      <c r="Q123" s="3">
        <v>1</v>
      </c>
      <c r="R123" s="43">
        <f>VLOOKUP('53'!O123,Malzemeler!C:D,2,0)</f>
        <v>75.899999999999991</v>
      </c>
      <c r="S123" s="43">
        <f t="shared" si="4"/>
        <v>75.899999999999991</v>
      </c>
    </row>
    <row r="124" spans="1:20" x14ac:dyDescent="0.35">
      <c r="A124" s="104"/>
      <c r="B124" s="1">
        <v>53</v>
      </c>
      <c r="C124" s="1" t="s">
        <v>698</v>
      </c>
      <c r="D124" s="1" t="s">
        <v>698</v>
      </c>
      <c r="E124" s="1" t="s">
        <v>698</v>
      </c>
      <c r="F124" s="1" t="s">
        <v>698</v>
      </c>
      <c r="G124" s="1" t="s">
        <v>698</v>
      </c>
      <c r="H124" s="1" t="s">
        <v>698</v>
      </c>
      <c r="I124" s="1" t="s">
        <v>698</v>
      </c>
      <c r="J124" s="1">
        <f t="shared" ref="J124:J126" si="5">SUBTOTAL(103,B124)</f>
        <v>1</v>
      </c>
      <c r="L124" s="1" t="s">
        <v>722</v>
      </c>
      <c r="M124" s="7">
        <v>29</v>
      </c>
      <c r="N124" s="5" t="s">
        <v>686</v>
      </c>
      <c r="O124" s="3" t="s">
        <v>695</v>
      </c>
      <c r="P124" s="3" t="s">
        <v>14</v>
      </c>
      <c r="Q124" s="3">
        <v>1</v>
      </c>
      <c r="R124" s="43">
        <f>VLOOKUP('53'!O124,Malzemeler!C:D,2,0)</f>
        <v>0</v>
      </c>
      <c r="S124" s="43">
        <f t="shared" si="4"/>
        <v>0</v>
      </c>
    </row>
    <row r="125" spans="1:20" x14ac:dyDescent="0.35">
      <c r="A125" s="104"/>
      <c r="B125" s="1">
        <v>53</v>
      </c>
      <c r="C125" s="1" t="s">
        <v>698</v>
      </c>
      <c r="D125" s="1" t="s">
        <v>698</v>
      </c>
      <c r="E125" s="1" t="s">
        <v>698</v>
      </c>
      <c r="F125" s="1" t="s">
        <v>698</v>
      </c>
      <c r="G125" s="1" t="s">
        <v>698</v>
      </c>
      <c r="H125" s="1" t="s">
        <v>698</v>
      </c>
      <c r="I125" s="1" t="s">
        <v>698</v>
      </c>
      <c r="J125" s="1">
        <f t="shared" si="5"/>
        <v>1</v>
      </c>
      <c r="L125" s="1" t="s">
        <v>722</v>
      </c>
      <c r="M125" s="7">
        <v>30</v>
      </c>
      <c r="N125" s="1" t="s">
        <v>628</v>
      </c>
      <c r="O125" s="3" t="s">
        <v>629</v>
      </c>
      <c r="P125" s="3" t="s">
        <v>14</v>
      </c>
      <c r="Q125" s="3">
        <v>1</v>
      </c>
      <c r="R125" s="43">
        <f>VLOOKUP('53'!O125,Malzemeler!C:D,2,0)</f>
        <v>0</v>
      </c>
      <c r="S125" s="43">
        <f t="shared" si="4"/>
        <v>0</v>
      </c>
    </row>
    <row r="126" spans="1:20" x14ac:dyDescent="0.35">
      <c r="A126" s="104"/>
      <c r="B126" s="1">
        <v>53</v>
      </c>
      <c r="C126" s="1" t="s">
        <v>698</v>
      </c>
      <c r="D126" s="1" t="s">
        <v>698</v>
      </c>
      <c r="E126" s="1" t="s">
        <v>698</v>
      </c>
      <c r="F126" s="1" t="s">
        <v>698</v>
      </c>
      <c r="G126" s="1" t="s">
        <v>698</v>
      </c>
      <c r="H126" s="1" t="s">
        <v>698</v>
      </c>
      <c r="I126" s="1" t="s">
        <v>698</v>
      </c>
      <c r="J126" s="1">
        <f t="shared" si="5"/>
        <v>1</v>
      </c>
      <c r="L126" s="1" t="s">
        <v>722</v>
      </c>
      <c r="M126" s="7">
        <v>31</v>
      </c>
      <c r="N126" s="1" t="s">
        <v>730</v>
      </c>
      <c r="O126" s="3" t="s">
        <v>729</v>
      </c>
      <c r="P126" s="3" t="s">
        <v>14</v>
      </c>
      <c r="Q126" s="3">
        <v>44</v>
      </c>
      <c r="R126" s="43">
        <f>VLOOKUP('53'!O126,Malzemeler!C:D,2,0)</f>
        <v>0</v>
      </c>
      <c r="S126" s="43">
        <f t="shared" si="4"/>
        <v>0</v>
      </c>
    </row>
    <row r="127" spans="1:20" x14ac:dyDescent="0.35">
      <c r="A127" s="42"/>
      <c r="B127" s="1">
        <v>53</v>
      </c>
      <c r="C127" s="1" t="s">
        <v>698</v>
      </c>
      <c r="D127" s="1" t="s">
        <v>698</v>
      </c>
      <c r="E127" s="1" t="s">
        <v>698</v>
      </c>
      <c r="F127" s="1" t="s">
        <v>698</v>
      </c>
      <c r="G127" s="1" t="s">
        <v>698</v>
      </c>
      <c r="H127" s="1" t="s">
        <v>698</v>
      </c>
      <c r="I127" s="1" t="s">
        <v>698</v>
      </c>
      <c r="J127" s="1">
        <f t="shared" ref="J127:J130" si="6">SUBTOTAL(103,B127)</f>
        <v>1</v>
      </c>
      <c r="L127" s="1" t="s">
        <v>722</v>
      </c>
      <c r="M127" s="7">
        <v>32</v>
      </c>
      <c r="N127" s="68" t="s">
        <v>750</v>
      </c>
      <c r="O127" s="3" t="s">
        <v>753</v>
      </c>
      <c r="P127" s="3" t="s">
        <v>135</v>
      </c>
      <c r="Q127" s="15">
        <v>30</v>
      </c>
      <c r="R127" s="43">
        <f>VLOOKUP('53'!O127,Malzemeler!C:D,2,0)</f>
        <v>0</v>
      </c>
      <c r="S127" s="43">
        <f t="shared" ref="S127:S130" si="7">+R127*Q127</f>
        <v>0</v>
      </c>
    </row>
    <row r="128" spans="1:20" x14ac:dyDescent="0.35">
      <c r="A128" s="42"/>
      <c r="B128" s="1">
        <v>53</v>
      </c>
      <c r="C128" s="1" t="s">
        <v>698</v>
      </c>
      <c r="D128" s="1" t="s">
        <v>698</v>
      </c>
      <c r="E128" s="1" t="s">
        <v>698</v>
      </c>
      <c r="F128" s="1" t="s">
        <v>698</v>
      </c>
      <c r="G128" s="1" t="s">
        <v>698</v>
      </c>
      <c r="H128" s="1" t="s">
        <v>698</v>
      </c>
      <c r="I128" s="1" t="s">
        <v>698</v>
      </c>
      <c r="J128" s="1">
        <f t="shared" si="6"/>
        <v>1</v>
      </c>
      <c r="L128" s="1" t="s">
        <v>722</v>
      </c>
      <c r="M128" s="7">
        <v>33</v>
      </c>
      <c r="N128" s="68" t="s">
        <v>758</v>
      </c>
      <c r="O128" s="3" t="s">
        <v>759</v>
      </c>
      <c r="P128" s="3" t="s">
        <v>135</v>
      </c>
      <c r="Q128" s="15">
        <v>8</v>
      </c>
      <c r="R128" s="43">
        <f>VLOOKUP('53'!O128,Malzemeler!C:D,2,0)</f>
        <v>0</v>
      </c>
      <c r="S128" s="43">
        <f t="shared" si="7"/>
        <v>0</v>
      </c>
    </row>
    <row r="129" spans="1:19" x14ac:dyDescent="0.35">
      <c r="A129" s="42"/>
      <c r="B129" s="1">
        <v>53</v>
      </c>
      <c r="C129" s="1" t="s">
        <v>698</v>
      </c>
      <c r="D129" s="1" t="s">
        <v>698</v>
      </c>
      <c r="E129" s="1" t="s">
        <v>698</v>
      </c>
      <c r="F129" s="1" t="s">
        <v>698</v>
      </c>
      <c r="G129" s="1" t="s">
        <v>698</v>
      </c>
      <c r="H129" s="1" t="s">
        <v>698</v>
      </c>
      <c r="I129" s="1" t="s">
        <v>698</v>
      </c>
      <c r="J129" s="1">
        <f t="shared" si="6"/>
        <v>1</v>
      </c>
      <c r="L129" s="1" t="s">
        <v>722</v>
      </c>
      <c r="M129" s="7">
        <v>34</v>
      </c>
      <c r="N129" s="68" t="s">
        <v>751</v>
      </c>
      <c r="O129" s="3" t="s">
        <v>754</v>
      </c>
      <c r="P129" s="3" t="s">
        <v>135</v>
      </c>
      <c r="Q129" s="15">
        <v>130</v>
      </c>
      <c r="R129" s="43">
        <f>VLOOKUP('53'!O129,Malzemeler!C:D,2,0)</f>
        <v>0</v>
      </c>
      <c r="S129" s="43">
        <f t="shared" si="7"/>
        <v>0</v>
      </c>
    </row>
    <row r="130" spans="1:19" x14ac:dyDescent="0.35">
      <c r="A130" s="42"/>
      <c r="B130" s="1">
        <v>53</v>
      </c>
      <c r="C130" s="1" t="s">
        <v>698</v>
      </c>
      <c r="D130" s="1" t="s">
        <v>698</v>
      </c>
      <c r="E130" s="1" t="s">
        <v>698</v>
      </c>
      <c r="F130" s="1" t="s">
        <v>698</v>
      </c>
      <c r="G130" s="1" t="s">
        <v>698</v>
      </c>
      <c r="H130" s="1" t="s">
        <v>698</v>
      </c>
      <c r="I130" s="1" t="s">
        <v>698</v>
      </c>
      <c r="J130" s="1">
        <f t="shared" si="6"/>
        <v>1</v>
      </c>
      <c r="L130" s="1" t="s">
        <v>722</v>
      </c>
      <c r="M130" s="7">
        <v>35</v>
      </c>
      <c r="N130" s="68" t="s">
        <v>752</v>
      </c>
      <c r="O130" s="3" t="s">
        <v>755</v>
      </c>
      <c r="P130" s="3" t="s">
        <v>135</v>
      </c>
      <c r="Q130" s="15">
        <v>35</v>
      </c>
      <c r="R130" s="43">
        <f>VLOOKUP('53'!O130,Malzemeler!C:D,2,0)</f>
        <v>0</v>
      </c>
      <c r="S130" s="43">
        <f t="shared" si="7"/>
        <v>0</v>
      </c>
    </row>
    <row r="131" spans="1:19" x14ac:dyDescent="0.35">
      <c r="A131" s="104" t="s">
        <v>719</v>
      </c>
      <c r="B131" s="1">
        <v>53</v>
      </c>
      <c r="C131" s="1" t="s">
        <v>698</v>
      </c>
      <c r="D131" s="1">
        <v>47</v>
      </c>
      <c r="E131" s="1">
        <v>5</v>
      </c>
      <c r="F131" s="1" t="s">
        <v>698</v>
      </c>
      <c r="G131" s="1" t="s">
        <v>698</v>
      </c>
      <c r="H131" s="1" t="s">
        <v>698</v>
      </c>
      <c r="I131" s="1" t="s">
        <v>698</v>
      </c>
      <c r="J131" s="1">
        <f t="shared" ref="J131:J135" si="8">SUBTOTAL(103,B131)</f>
        <v>1</v>
      </c>
      <c r="L131" s="1" t="s">
        <v>719</v>
      </c>
      <c r="M131" s="7">
        <v>1</v>
      </c>
      <c r="N131" s="1" t="s">
        <v>211</v>
      </c>
      <c r="O131" s="3" t="s">
        <v>212</v>
      </c>
      <c r="P131" s="3" t="s">
        <v>14</v>
      </c>
      <c r="Q131" s="3">
        <v>3</v>
      </c>
      <c r="R131" s="43">
        <f>VLOOKUP('53'!O131,Malzemeler!C:D,2,0)</f>
        <v>4.43</v>
      </c>
      <c r="S131" s="43">
        <f t="shared" si="4"/>
        <v>13.29</v>
      </c>
    </row>
    <row r="132" spans="1:19" x14ac:dyDescent="0.35">
      <c r="A132" s="104"/>
      <c r="B132" s="1">
        <v>53</v>
      </c>
      <c r="C132" s="1" t="s">
        <v>698</v>
      </c>
      <c r="D132" s="1">
        <v>47</v>
      </c>
      <c r="E132" s="1">
        <v>5</v>
      </c>
      <c r="F132" s="1" t="s">
        <v>698</v>
      </c>
      <c r="G132" s="1" t="s">
        <v>698</v>
      </c>
      <c r="H132" s="1" t="s">
        <v>698</v>
      </c>
      <c r="I132" s="1" t="s">
        <v>698</v>
      </c>
      <c r="J132" s="1">
        <f t="shared" si="8"/>
        <v>1</v>
      </c>
      <c r="L132" s="1" t="s">
        <v>719</v>
      </c>
      <c r="M132" s="7">
        <v>2</v>
      </c>
      <c r="N132" s="1" t="s">
        <v>213</v>
      </c>
      <c r="O132" s="3" t="s">
        <v>214</v>
      </c>
      <c r="P132" s="3" t="s">
        <v>14</v>
      </c>
      <c r="Q132" s="3">
        <v>3</v>
      </c>
      <c r="R132" s="43">
        <f>VLOOKUP('53'!O132,Malzemeler!C:D,2,0)</f>
        <v>3.04</v>
      </c>
      <c r="S132" s="43">
        <f t="shared" si="4"/>
        <v>9.120000000000001</v>
      </c>
    </row>
    <row r="133" spans="1:19" x14ac:dyDescent="0.35">
      <c r="A133" s="104"/>
      <c r="B133" s="1">
        <v>53</v>
      </c>
      <c r="C133" s="1" t="s">
        <v>698</v>
      </c>
      <c r="D133" s="1">
        <v>47</v>
      </c>
      <c r="E133" s="1">
        <v>5</v>
      </c>
      <c r="F133" s="1" t="s">
        <v>698</v>
      </c>
      <c r="G133" s="1" t="s">
        <v>698</v>
      </c>
      <c r="H133" s="1" t="s">
        <v>698</v>
      </c>
      <c r="I133" s="1" t="s">
        <v>698</v>
      </c>
      <c r="J133" s="1">
        <f t="shared" si="8"/>
        <v>1</v>
      </c>
      <c r="L133" s="1" t="s">
        <v>719</v>
      </c>
      <c r="M133" s="7">
        <v>3</v>
      </c>
      <c r="N133" s="1" t="s">
        <v>459</v>
      </c>
      <c r="O133" s="3" t="s">
        <v>460</v>
      </c>
      <c r="P133" s="3" t="s">
        <v>14</v>
      </c>
      <c r="Q133" s="3">
        <v>3</v>
      </c>
      <c r="R133" s="43">
        <f>VLOOKUP('53'!O133,Malzemeler!C:D,2,0)</f>
        <v>4.55</v>
      </c>
      <c r="S133" s="43">
        <f t="shared" si="4"/>
        <v>13.649999999999999</v>
      </c>
    </row>
    <row r="134" spans="1:19" x14ac:dyDescent="0.35">
      <c r="A134" s="104"/>
      <c r="B134" s="1">
        <v>53</v>
      </c>
      <c r="C134" s="1" t="s">
        <v>698</v>
      </c>
      <c r="D134" s="1">
        <v>47</v>
      </c>
      <c r="E134" s="1">
        <v>5</v>
      </c>
      <c r="F134" s="1" t="s">
        <v>698</v>
      </c>
      <c r="G134" s="1" t="s">
        <v>698</v>
      </c>
      <c r="H134" s="1" t="s">
        <v>698</v>
      </c>
      <c r="I134" s="1" t="s">
        <v>698</v>
      </c>
      <c r="J134" s="1">
        <f t="shared" si="8"/>
        <v>1</v>
      </c>
      <c r="L134" s="1" t="s">
        <v>719</v>
      </c>
      <c r="M134" s="7">
        <v>4</v>
      </c>
      <c r="N134" s="1" t="s">
        <v>461</v>
      </c>
      <c r="O134" s="3" t="s">
        <v>462</v>
      </c>
      <c r="P134" s="3" t="s">
        <v>14</v>
      </c>
      <c r="Q134" s="3">
        <v>3</v>
      </c>
      <c r="R134" s="43">
        <f>VLOOKUP('53'!O134,Malzemeler!C:D,2,0)</f>
        <v>2.96</v>
      </c>
      <c r="S134" s="43">
        <f t="shared" ref="S134:S167" si="9">+R134*Q134</f>
        <v>8.879999999999999</v>
      </c>
    </row>
    <row r="135" spans="1:19" x14ac:dyDescent="0.35">
      <c r="A135" s="104"/>
      <c r="B135" s="1">
        <v>53</v>
      </c>
      <c r="C135" s="1" t="s">
        <v>698</v>
      </c>
      <c r="D135" s="1">
        <v>47</v>
      </c>
      <c r="E135" s="1">
        <v>5</v>
      </c>
      <c r="F135" s="1" t="s">
        <v>698</v>
      </c>
      <c r="G135" s="1" t="s">
        <v>698</v>
      </c>
      <c r="H135" s="1" t="s">
        <v>698</v>
      </c>
      <c r="I135" s="1" t="s">
        <v>698</v>
      </c>
      <c r="J135" s="1">
        <f t="shared" si="8"/>
        <v>1</v>
      </c>
      <c r="L135" s="1" t="s">
        <v>719</v>
      </c>
      <c r="M135" s="7">
        <v>5</v>
      </c>
      <c r="N135" s="1" t="s">
        <v>463</v>
      </c>
      <c r="O135" s="3" t="s">
        <v>464</v>
      </c>
      <c r="P135" s="3" t="s">
        <v>14</v>
      </c>
      <c r="Q135" s="3">
        <v>3</v>
      </c>
      <c r="R135" s="43">
        <f>VLOOKUP('53'!O135,Malzemeler!C:D,2,0)</f>
        <v>7.15</v>
      </c>
      <c r="S135" s="43">
        <f t="shared" si="9"/>
        <v>21.450000000000003</v>
      </c>
    </row>
    <row r="136" spans="1:19" x14ac:dyDescent="0.35">
      <c r="A136" s="104"/>
      <c r="B136" s="1">
        <v>53</v>
      </c>
      <c r="C136" s="1" t="s">
        <v>698</v>
      </c>
      <c r="D136" s="1">
        <v>47</v>
      </c>
      <c r="E136" s="1">
        <v>5</v>
      </c>
      <c r="F136" s="1" t="s">
        <v>698</v>
      </c>
      <c r="G136" s="1" t="s">
        <v>698</v>
      </c>
      <c r="H136" s="1" t="s">
        <v>698</v>
      </c>
      <c r="I136" s="1" t="s">
        <v>698</v>
      </c>
      <c r="J136" s="1">
        <f t="shared" ref="J136" si="10">SUBTOTAL(103,B136)</f>
        <v>1</v>
      </c>
      <c r="L136" s="1" t="s">
        <v>719</v>
      </c>
      <c r="M136" s="7">
        <v>6</v>
      </c>
      <c r="N136" s="1" t="s">
        <v>465</v>
      </c>
      <c r="O136" s="3" t="s">
        <v>466</v>
      </c>
      <c r="P136" s="3" t="s">
        <v>14</v>
      </c>
      <c r="Q136" s="3">
        <v>3</v>
      </c>
      <c r="R136" s="43">
        <f>VLOOKUP('53'!O136,Malzemeler!C:D,2,0)</f>
        <v>4.37</v>
      </c>
      <c r="S136" s="43">
        <f t="shared" si="9"/>
        <v>13.11</v>
      </c>
    </row>
    <row r="137" spans="1:19" x14ac:dyDescent="0.35">
      <c r="A137" s="104"/>
      <c r="B137" s="1">
        <v>53</v>
      </c>
      <c r="C137" s="1" t="s">
        <v>698</v>
      </c>
      <c r="D137" s="1">
        <v>49</v>
      </c>
      <c r="E137" s="1">
        <v>5</v>
      </c>
      <c r="F137" s="1" t="s">
        <v>698</v>
      </c>
      <c r="G137" s="1" t="s">
        <v>698</v>
      </c>
      <c r="H137" s="1" t="s">
        <v>698</v>
      </c>
      <c r="I137" s="1" t="s">
        <v>698</v>
      </c>
      <c r="J137" s="1">
        <f t="shared" ref="J137:J142" si="11">SUBTOTAL(103,B137)</f>
        <v>1</v>
      </c>
      <c r="L137" s="1" t="s">
        <v>719</v>
      </c>
      <c r="M137" s="7">
        <v>1</v>
      </c>
      <c r="N137" s="1" t="s">
        <v>211</v>
      </c>
      <c r="O137" s="3" t="s">
        <v>212</v>
      </c>
      <c r="P137" s="3" t="s">
        <v>14</v>
      </c>
      <c r="Q137" s="3">
        <v>3</v>
      </c>
      <c r="R137" s="43">
        <f>VLOOKUP('53'!O137,Malzemeler!C:D,2,0)</f>
        <v>4.43</v>
      </c>
      <c r="S137" s="43">
        <f t="shared" si="9"/>
        <v>13.29</v>
      </c>
    </row>
    <row r="138" spans="1:19" x14ac:dyDescent="0.35">
      <c r="A138" s="104"/>
      <c r="B138" s="1">
        <v>53</v>
      </c>
      <c r="C138" s="1" t="s">
        <v>698</v>
      </c>
      <c r="D138" s="1">
        <v>49</v>
      </c>
      <c r="E138" s="1">
        <v>5</v>
      </c>
      <c r="F138" s="1" t="s">
        <v>698</v>
      </c>
      <c r="G138" s="1" t="s">
        <v>698</v>
      </c>
      <c r="H138" s="1" t="s">
        <v>698</v>
      </c>
      <c r="I138" s="1" t="s">
        <v>698</v>
      </c>
      <c r="J138" s="1">
        <f t="shared" si="11"/>
        <v>1</v>
      </c>
      <c r="L138" s="1" t="s">
        <v>719</v>
      </c>
      <c r="M138" s="7">
        <v>2</v>
      </c>
      <c r="N138" s="1" t="s">
        <v>213</v>
      </c>
      <c r="O138" s="3" t="s">
        <v>214</v>
      </c>
      <c r="P138" s="3" t="s">
        <v>14</v>
      </c>
      <c r="Q138" s="3">
        <v>3</v>
      </c>
      <c r="R138" s="43">
        <f>VLOOKUP('53'!O138,Malzemeler!C:D,2,0)</f>
        <v>3.04</v>
      </c>
      <c r="S138" s="43">
        <f t="shared" si="9"/>
        <v>9.120000000000001</v>
      </c>
    </row>
    <row r="139" spans="1:19" x14ac:dyDescent="0.35">
      <c r="A139" s="104"/>
      <c r="B139" s="1">
        <v>53</v>
      </c>
      <c r="C139" s="1" t="s">
        <v>698</v>
      </c>
      <c r="D139" s="1">
        <v>49</v>
      </c>
      <c r="E139" s="1">
        <v>5</v>
      </c>
      <c r="F139" s="1" t="s">
        <v>698</v>
      </c>
      <c r="G139" s="1" t="s">
        <v>698</v>
      </c>
      <c r="H139" s="1" t="s">
        <v>698</v>
      </c>
      <c r="I139" s="1" t="s">
        <v>698</v>
      </c>
      <c r="J139" s="1">
        <f t="shared" si="11"/>
        <v>1</v>
      </c>
      <c r="L139" s="1" t="s">
        <v>719</v>
      </c>
      <c r="M139" s="7">
        <v>3</v>
      </c>
      <c r="N139" s="1" t="s">
        <v>459</v>
      </c>
      <c r="O139" s="3" t="s">
        <v>460</v>
      </c>
      <c r="P139" s="3" t="s">
        <v>14</v>
      </c>
      <c r="Q139" s="3">
        <v>3</v>
      </c>
      <c r="R139" s="43">
        <f>VLOOKUP('53'!O139,Malzemeler!C:D,2,0)</f>
        <v>4.55</v>
      </c>
      <c r="S139" s="43">
        <f t="shared" si="9"/>
        <v>13.649999999999999</v>
      </c>
    </row>
    <row r="140" spans="1:19" x14ac:dyDescent="0.35">
      <c r="A140" s="104"/>
      <c r="B140" s="1">
        <v>53</v>
      </c>
      <c r="C140" s="1" t="s">
        <v>698</v>
      </c>
      <c r="D140" s="1">
        <v>49</v>
      </c>
      <c r="E140" s="1">
        <v>5</v>
      </c>
      <c r="F140" s="1" t="s">
        <v>698</v>
      </c>
      <c r="G140" s="1" t="s">
        <v>698</v>
      </c>
      <c r="H140" s="1" t="s">
        <v>698</v>
      </c>
      <c r="I140" s="1" t="s">
        <v>698</v>
      </c>
      <c r="J140" s="1">
        <f t="shared" si="11"/>
        <v>1</v>
      </c>
      <c r="L140" s="1" t="s">
        <v>719</v>
      </c>
      <c r="M140" s="7">
        <v>4</v>
      </c>
      <c r="N140" s="1" t="s">
        <v>461</v>
      </c>
      <c r="O140" s="3" t="s">
        <v>462</v>
      </c>
      <c r="P140" s="3" t="s">
        <v>14</v>
      </c>
      <c r="Q140" s="3">
        <v>3</v>
      </c>
      <c r="R140" s="43">
        <f>VLOOKUP('53'!O140,Malzemeler!C:D,2,0)</f>
        <v>2.96</v>
      </c>
      <c r="S140" s="43">
        <f t="shared" si="9"/>
        <v>8.879999999999999</v>
      </c>
    </row>
    <row r="141" spans="1:19" x14ac:dyDescent="0.35">
      <c r="A141" s="104"/>
      <c r="B141" s="1">
        <v>53</v>
      </c>
      <c r="C141" s="1" t="s">
        <v>698</v>
      </c>
      <c r="D141" s="1">
        <v>49</v>
      </c>
      <c r="E141" s="1">
        <v>5</v>
      </c>
      <c r="F141" s="1" t="s">
        <v>698</v>
      </c>
      <c r="G141" s="1" t="s">
        <v>698</v>
      </c>
      <c r="H141" s="1" t="s">
        <v>698</v>
      </c>
      <c r="I141" s="1" t="s">
        <v>698</v>
      </c>
      <c r="J141" s="1">
        <f t="shared" si="11"/>
        <v>1</v>
      </c>
      <c r="L141" s="1" t="s">
        <v>719</v>
      </c>
      <c r="M141" s="7">
        <v>5</v>
      </c>
      <c r="N141" s="5" t="s">
        <v>575</v>
      </c>
      <c r="O141" s="3" t="s">
        <v>577</v>
      </c>
      <c r="P141" s="3" t="s">
        <v>14</v>
      </c>
      <c r="Q141" s="3">
        <v>3</v>
      </c>
      <c r="R141" s="43">
        <f>VLOOKUP('53'!O141,Malzemeler!C:D,2,0)</f>
        <v>6.91</v>
      </c>
      <c r="S141" s="43">
        <f t="shared" si="9"/>
        <v>20.73</v>
      </c>
    </row>
    <row r="142" spans="1:19" x14ac:dyDescent="0.35">
      <c r="A142" s="104"/>
      <c r="B142" s="1">
        <v>53</v>
      </c>
      <c r="C142" s="1" t="s">
        <v>698</v>
      </c>
      <c r="D142" s="1">
        <v>49</v>
      </c>
      <c r="E142" s="1">
        <v>5</v>
      </c>
      <c r="F142" s="1" t="s">
        <v>698</v>
      </c>
      <c r="G142" s="1" t="s">
        <v>698</v>
      </c>
      <c r="H142" s="1" t="s">
        <v>698</v>
      </c>
      <c r="I142" s="1" t="s">
        <v>698</v>
      </c>
      <c r="J142" s="1">
        <f t="shared" si="11"/>
        <v>1</v>
      </c>
      <c r="L142" s="1" t="s">
        <v>719</v>
      </c>
      <c r="M142" s="7">
        <v>6</v>
      </c>
      <c r="N142" s="5" t="s">
        <v>576</v>
      </c>
      <c r="O142" s="3" t="s">
        <v>578</v>
      </c>
      <c r="P142" s="3" t="s">
        <v>14</v>
      </c>
      <c r="Q142" s="3">
        <v>3</v>
      </c>
      <c r="R142" s="43">
        <f>VLOOKUP('53'!O142,Malzemeler!C:D,2,0)</f>
        <v>4.47</v>
      </c>
      <c r="S142" s="43">
        <f t="shared" si="9"/>
        <v>13.41</v>
      </c>
    </row>
    <row r="143" spans="1:19" x14ac:dyDescent="0.35">
      <c r="A143" s="104"/>
      <c r="B143" s="1">
        <v>53</v>
      </c>
      <c r="C143" s="1" t="s">
        <v>698</v>
      </c>
      <c r="D143" s="1">
        <v>5</v>
      </c>
      <c r="E143" s="1">
        <v>5</v>
      </c>
      <c r="F143" s="1" t="s">
        <v>698</v>
      </c>
      <c r="G143" s="1" t="s">
        <v>698</v>
      </c>
      <c r="H143" s="1" t="s">
        <v>698</v>
      </c>
      <c r="I143" s="1" t="s">
        <v>698</v>
      </c>
      <c r="J143" s="1">
        <v>1</v>
      </c>
      <c r="L143" s="1" t="s">
        <v>719</v>
      </c>
      <c r="M143" s="7">
        <v>1</v>
      </c>
      <c r="N143" s="5" t="s">
        <v>211</v>
      </c>
      <c r="O143" s="3" t="s">
        <v>212</v>
      </c>
      <c r="P143" s="3" t="s">
        <v>14</v>
      </c>
      <c r="Q143" s="3">
        <v>6</v>
      </c>
      <c r="R143" s="43">
        <f>VLOOKUP('53'!O143,Malzemeler!C:D,2,0)</f>
        <v>4.43</v>
      </c>
      <c r="S143" s="43">
        <f t="shared" si="9"/>
        <v>26.58</v>
      </c>
    </row>
    <row r="144" spans="1:19" x14ac:dyDescent="0.35">
      <c r="A144" s="104"/>
      <c r="B144" s="1">
        <v>53</v>
      </c>
      <c r="C144" s="1" t="s">
        <v>698</v>
      </c>
      <c r="D144" s="1">
        <v>5</v>
      </c>
      <c r="E144" s="1">
        <v>5</v>
      </c>
      <c r="F144" s="1" t="s">
        <v>698</v>
      </c>
      <c r="G144" s="1" t="s">
        <v>698</v>
      </c>
      <c r="H144" s="1" t="s">
        <v>698</v>
      </c>
      <c r="I144" s="1" t="s">
        <v>698</v>
      </c>
      <c r="J144" s="1">
        <f>SUBTOTAL(103,B144)</f>
        <v>1</v>
      </c>
      <c r="L144" s="1" t="s">
        <v>719</v>
      </c>
      <c r="M144" s="7">
        <v>2</v>
      </c>
      <c r="N144" s="5" t="s">
        <v>213</v>
      </c>
      <c r="O144" s="3" t="s">
        <v>214</v>
      </c>
      <c r="P144" s="3" t="s">
        <v>14</v>
      </c>
      <c r="Q144" s="3">
        <v>6</v>
      </c>
      <c r="R144" s="43">
        <f>VLOOKUP('53'!O144,Malzemeler!C:D,2,0)</f>
        <v>3.04</v>
      </c>
      <c r="S144" s="43">
        <f t="shared" si="9"/>
        <v>18.240000000000002</v>
      </c>
    </row>
    <row r="145" spans="1:19" x14ac:dyDescent="0.35">
      <c r="A145" s="104" t="s">
        <v>478</v>
      </c>
      <c r="B145" s="1">
        <v>53</v>
      </c>
      <c r="C145" s="1" t="s">
        <v>572</v>
      </c>
      <c r="D145" s="1" t="s">
        <v>698</v>
      </c>
      <c r="E145" s="1" t="s">
        <v>698</v>
      </c>
      <c r="F145" s="1" t="s">
        <v>602</v>
      </c>
      <c r="G145" s="1" t="s">
        <v>698</v>
      </c>
      <c r="H145" s="1" t="s">
        <v>698</v>
      </c>
      <c r="I145" s="1" t="s">
        <v>698</v>
      </c>
      <c r="J145" s="1">
        <f t="shared" ref="J145:J161" si="12">SUBTOTAL(103,B145)</f>
        <v>1</v>
      </c>
      <c r="L145" s="1" t="s">
        <v>724</v>
      </c>
      <c r="M145" s="18">
        <v>1</v>
      </c>
      <c r="N145" s="1" t="s">
        <v>564</v>
      </c>
      <c r="O145" s="3" t="s">
        <v>192</v>
      </c>
      <c r="P145" s="3" t="s">
        <v>14</v>
      </c>
      <c r="Q145" s="11">
        <v>1</v>
      </c>
      <c r="R145" s="43">
        <f>VLOOKUP('53'!O145,Malzemeler!C:D,2,0)</f>
        <v>410</v>
      </c>
      <c r="S145" s="43">
        <f t="shared" si="9"/>
        <v>410</v>
      </c>
    </row>
    <row r="146" spans="1:19" x14ac:dyDescent="0.35">
      <c r="A146" s="104"/>
      <c r="B146" s="1">
        <v>53</v>
      </c>
      <c r="C146" s="28" t="s">
        <v>573</v>
      </c>
      <c r="D146" s="28" t="s">
        <v>698</v>
      </c>
      <c r="E146" s="28" t="s">
        <v>698</v>
      </c>
      <c r="F146" s="28" t="s">
        <v>602</v>
      </c>
      <c r="G146" s="28" t="s">
        <v>698</v>
      </c>
      <c r="H146" s="28" t="s">
        <v>698</v>
      </c>
      <c r="I146" s="28" t="s">
        <v>698</v>
      </c>
      <c r="J146" s="28">
        <f>SUBTOTAL(103,B146)</f>
        <v>1</v>
      </c>
      <c r="L146" s="1" t="s">
        <v>725</v>
      </c>
      <c r="M146" s="27">
        <v>1</v>
      </c>
      <c r="N146" s="28" t="s">
        <v>564</v>
      </c>
      <c r="O146" s="29" t="str">
        <f>VLOOKUP(N146,Malzemeler!B:C,2,)</f>
        <v>-</v>
      </c>
      <c r="P146" s="29" t="s">
        <v>14</v>
      </c>
      <c r="Q146" s="30">
        <v>1</v>
      </c>
      <c r="R146" s="43">
        <f>VLOOKUP('53'!O146,Malzemeler!C:D,2,0)</f>
        <v>410</v>
      </c>
      <c r="S146" s="43">
        <f>+R146*Q146</f>
        <v>410</v>
      </c>
    </row>
    <row r="147" spans="1:19" x14ac:dyDescent="0.35">
      <c r="A147" s="104"/>
      <c r="B147" s="1">
        <v>53</v>
      </c>
      <c r="C147" s="1" t="s">
        <v>698</v>
      </c>
      <c r="D147" s="1" t="s">
        <v>698</v>
      </c>
      <c r="E147" s="1" t="s">
        <v>698</v>
      </c>
      <c r="F147" s="1" t="s">
        <v>602</v>
      </c>
      <c r="G147" s="1" t="s">
        <v>698</v>
      </c>
      <c r="H147" s="1" t="s">
        <v>698</v>
      </c>
      <c r="I147" s="1" t="s">
        <v>698</v>
      </c>
      <c r="J147" s="1">
        <f t="shared" si="12"/>
        <v>1</v>
      </c>
      <c r="L147" s="1" t="s">
        <v>762</v>
      </c>
      <c r="M147" s="18">
        <v>2</v>
      </c>
      <c r="N147" s="1" t="s">
        <v>488</v>
      </c>
      <c r="O147" s="3" t="s">
        <v>489</v>
      </c>
      <c r="P147" s="3" t="s">
        <v>14</v>
      </c>
      <c r="Q147" s="11">
        <v>1</v>
      </c>
      <c r="R147" s="43">
        <f>VLOOKUP('53'!O147,Malzemeler!C:D,2,0)</f>
        <v>214.49999999999997</v>
      </c>
      <c r="S147" s="43">
        <f t="shared" si="9"/>
        <v>214.49999999999997</v>
      </c>
    </row>
    <row r="148" spans="1:19" x14ac:dyDescent="0.35">
      <c r="A148" s="104"/>
      <c r="B148" s="1">
        <v>53</v>
      </c>
      <c r="C148" s="1" t="s">
        <v>698</v>
      </c>
      <c r="D148" s="1" t="s">
        <v>698</v>
      </c>
      <c r="E148" s="1" t="s">
        <v>698</v>
      </c>
      <c r="F148" s="1" t="s">
        <v>602</v>
      </c>
      <c r="G148" s="1" t="s">
        <v>698</v>
      </c>
      <c r="H148" s="1" t="s">
        <v>698</v>
      </c>
      <c r="I148" s="1" t="s">
        <v>698</v>
      </c>
      <c r="J148" s="1">
        <f t="shared" si="12"/>
        <v>1</v>
      </c>
      <c r="L148" s="1" t="s">
        <v>762</v>
      </c>
      <c r="M148" s="18">
        <v>3</v>
      </c>
      <c r="N148" s="5" t="s">
        <v>486</v>
      </c>
      <c r="O148" s="3" t="s">
        <v>487</v>
      </c>
      <c r="P148" s="3" t="s">
        <v>14</v>
      </c>
      <c r="Q148" s="11">
        <v>1</v>
      </c>
      <c r="R148" s="43">
        <f>VLOOKUP('53'!O148,Malzemeler!C:D,2,0)</f>
        <v>113.85</v>
      </c>
      <c r="S148" s="43">
        <f t="shared" si="9"/>
        <v>113.85</v>
      </c>
    </row>
    <row r="149" spans="1:19" x14ac:dyDescent="0.35">
      <c r="A149" s="104"/>
      <c r="B149" s="1">
        <v>53</v>
      </c>
      <c r="C149" s="1" t="s">
        <v>698</v>
      </c>
      <c r="D149" s="1" t="s">
        <v>698</v>
      </c>
      <c r="E149" s="1" t="s">
        <v>698</v>
      </c>
      <c r="F149" s="1" t="s">
        <v>602</v>
      </c>
      <c r="G149" s="1" t="s">
        <v>698</v>
      </c>
      <c r="H149" s="1" t="s">
        <v>698</v>
      </c>
      <c r="I149" s="1" t="s">
        <v>698</v>
      </c>
      <c r="J149" s="1">
        <f t="shared" si="12"/>
        <v>1</v>
      </c>
      <c r="L149" s="1" t="s">
        <v>762</v>
      </c>
      <c r="M149" s="18">
        <v>4</v>
      </c>
      <c r="N149" s="1" t="s">
        <v>90</v>
      </c>
      <c r="O149" s="3" t="s">
        <v>91</v>
      </c>
      <c r="P149" s="3" t="s">
        <v>135</v>
      </c>
      <c r="Q149" s="10">
        <v>7.6840000000000046</v>
      </c>
      <c r="R149" s="43">
        <f>VLOOKUP('53'!O149,Malzemeler!C:D,2,0)</f>
        <v>1.27</v>
      </c>
      <c r="S149" s="43">
        <f t="shared" si="9"/>
        <v>9.7586800000000054</v>
      </c>
    </row>
    <row r="150" spans="1:19" x14ac:dyDescent="0.35">
      <c r="A150" s="104"/>
      <c r="B150" s="1">
        <v>53</v>
      </c>
      <c r="C150" s="1" t="s">
        <v>698</v>
      </c>
      <c r="D150" s="1" t="s">
        <v>698</v>
      </c>
      <c r="E150" s="1" t="s">
        <v>698</v>
      </c>
      <c r="F150" s="1" t="s">
        <v>602</v>
      </c>
      <c r="G150" s="1" t="s">
        <v>698</v>
      </c>
      <c r="H150" s="1" t="s">
        <v>698</v>
      </c>
      <c r="I150" s="1" t="s">
        <v>698</v>
      </c>
      <c r="J150" s="1">
        <f t="shared" si="12"/>
        <v>1</v>
      </c>
      <c r="L150" s="1" t="s">
        <v>762</v>
      </c>
      <c r="M150" s="18">
        <v>5</v>
      </c>
      <c r="N150" s="1" t="s">
        <v>92</v>
      </c>
      <c r="O150" s="3" t="s">
        <v>93</v>
      </c>
      <c r="P150" s="3" t="s">
        <v>135</v>
      </c>
      <c r="Q150" s="10">
        <v>2.907</v>
      </c>
      <c r="R150" s="43">
        <f>VLOOKUP('53'!O150,Malzemeler!C:D,2,0)</f>
        <v>1.74</v>
      </c>
      <c r="S150" s="43">
        <f t="shared" si="9"/>
        <v>5.0581800000000001</v>
      </c>
    </row>
    <row r="151" spans="1:19" x14ac:dyDescent="0.35">
      <c r="A151" s="104"/>
      <c r="B151" s="1">
        <v>53</v>
      </c>
      <c r="C151" s="1" t="s">
        <v>698</v>
      </c>
      <c r="D151" s="1" t="s">
        <v>698</v>
      </c>
      <c r="E151" s="1" t="s">
        <v>698</v>
      </c>
      <c r="F151" s="1" t="s">
        <v>602</v>
      </c>
      <c r="G151" s="1" t="s">
        <v>698</v>
      </c>
      <c r="H151" s="1" t="s">
        <v>698</v>
      </c>
      <c r="I151" s="1" t="s">
        <v>698</v>
      </c>
      <c r="J151" s="1">
        <f t="shared" si="12"/>
        <v>1</v>
      </c>
      <c r="L151" s="1" t="s">
        <v>762</v>
      </c>
      <c r="M151" s="18">
        <v>6</v>
      </c>
      <c r="N151" s="1" t="s">
        <v>94</v>
      </c>
      <c r="O151" s="3" t="s">
        <v>95</v>
      </c>
      <c r="P151" s="3" t="s">
        <v>135</v>
      </c>
      <c r="Q151" s="10">
        <v>9.6490000000000009</v>
      </c>
      <c r="R151" s="43">
        <f>VLOOKUP('53'!O151,Malzemeler!C:D,2,0)</f>
        <v>1.95</v>
      </c>
      <c r="S151" s="43">
        <f t="shared" si="9"/>
        <v>18.815550000000002</v>
      </c>
    </row>
    <row r="152" spans="1:19" x14ac:dyDescent="0.35">
      <c r="A152" s="104"/>
      <c r="B152" s="1">
        <v>53</v>
      </c>
      <c r="C152" s="1" t="s">
        <v>698</v>
      </c>
      <c r="D152" s="1" t="s">
        <v>698</v>
      </c>
      <c r="E152" s="1" t="s">
        <v>698</v>
      </c>
      <c r="F152" s="1" t="s">
        <v>602</v>
      </c>
      <c r="G152" s="1" t="s">
        <v>698</v>
      </c>
      <c r="H152" s="1" t="s">
        <v>698</v>
      </c>
      <c r="I152" s="1" t="s">
        <v>698</v>
      </c>
      <c r="J152" s="1">
        <f t="shared" si="12"/>
        <v>1</v>
      </c>
      <c r="L152" s="1" t="s">
        <v>762</v>
      </c>
      <c r="M152" s="18">
        <v>7</v>
      </c>
      <c r="N152" s="1" t="s">
        <v>98</v>
      </c>
      <c r="O152" s="3" t="s">
        <v>99</v>
      </c>
      <c r="P152" s="3" t="s">
        <v>133</v>
      </c>
      <c r="Q152" s="10">
        <v>1.2800000000000011</v>
      </c>
      <c r="R152" s="43">
        <f>VLOOKUP('53'!O152,Malzemeler!C:D,2,0)</f>
        <v>0.87</v>
      </c>
      <c r="S152" s="43">
        <f t="shared" si="9"/>
        <v>1.113600000000001</v>
      </c>
    </row>
    <row r="153" spans="1:19" x14ac:dyDescent="0.35">
      <c r="A153" s="104"/>
      <c r="B153" s="1">
        <v>53</v>
      </c>
      <c r="C153" s="1" t="s">
        <v>698</v>
      </c>
      <c r="D153" s="1" t="s">
        <v>698</v>
      </c>
      <c r="E153" s="1" t="s">
        <v>698</v>
      </c>
      <c r="F153" s="1" t="s">
        <v>602</v>
      </c>
      <c r="G153" s="1" t="s">
        <v>698</v>
      </c>
      <c r="H153" s="1" t="s">
        <v>698</v>
      </c>
      <c r="I153" s="1" t="s">
        <v>698</v>
      </c>
      <c r="J153" s="1">
        <f t="shared" si="12"/>
        <v>1</v>
      </c>
      <c r="L153" s="1" t="s">
        <v>762</v>
      </c>
      <c r="M153" s="18">
        <v>8</v>
      </c>
      <c r="N153" s="1" t="s">
        <v>102</v>
      </c>
      <c r="O153" s="3" t="s">
        <v>103</v>
      </c>
      <c r="P153" s="3" t="s">
        <v>133</v>
      </c>
      <c r="Q153" s="10">
        <v>12.084000000000003</v>
      </c>
      <c r="R153" s="43">
        <f>VLOOKUP('53'!O153,Malzemeler!C:D,2,0)</f>
        <v>1.1299999999999999</v>
      </c>
      <c r="S153" s="43">
        <f t="shared" si="9"/>
        <v>13.654920000000002</v>
      </c>
    </row>
    <row r="154" spans="1:19" x14ac:dyDescent="0.35">
      <c r="A154" s="104"/>
      <c r="B154" s="1">
        <v>53</v>
      </c>
      <c r="C154" s="1" t="s">
        <v>698</v>
      </c>
      <c r="D154" s="1" t="s">
        <v>698</v>
      </c>
      <c r="E154" s="1" t="s">
        <v>698</v>
      </c>
      <c r="F154" s="1" t="s">
        <v>602</v>
      </c>
      <c r="G154" s="1" t="s">
        <v>698</v>
      </c>
      <c r="H154" s="1" t="s">
        <v>698</v>
      </c>
      <c r="I154" s="1" t="s">
        <v>698</v>
      </c>
      <c r="J154" s="1">
        <f t="shared" si="12"/>
        <v>1</v>
      </c>
      <c r="L154" s="1" t="s">
        <v>762</v>
      </c>
      <c r="M154" s="18">
        <v>9</v>
      </c>
      <c r="N154" s="1" t="s">
        <v>104</v>
      </c>
      <c r="O154" s="3" t="s">
        <v>105</v>
      </c>
      <c r="P154" s="3" t="s">
        <v>133</v>
      </c>
      <c r="Q154" s="10">
        <v>117.16213807999998</v>
      </c>
      <c r="R154" s="43">
        <f>VLOOKUP('53'!O154,Malzemeler!C:D,2,0)</f>
        <v>0.98</v>
      </c>
      <c r="S154" s="43">
        <f t="shared" si="9"/>
        <v>114.81889531839998</v>
      </c>
    </row>
    <row r="155" spans="1:19" x14ac:dyDescent="0.35">
      <c r="A155" s="104"/>
      <c r="B155" s="1">
        <v>53</v>
      </c>
      <c r="C155" s="1" t="s">
        <v>698</v>
      </c>
      <c r="D155" s="1" t="s">
        <v>698</v>
      </c>
      <c r="E155" s="1" t="s">
        <v>698</v>
      </c>
      <c r="F155" s="1" t="s">
        <v>602</v>
      </c>
      <c r="G155" s="1" t="s">
        <v>698</v>
      </c>
      <c r="H155" s="1" t="s">
        <v>698</v>
      </c>
      <c r="I155" s="1" t="s">
        <v>698</v>
      </c>
      <c r="J155" s="1">
        <f t="shared" si="12"/>
        <v>1</v>
      </c>
      <c r="L155" s="1" t="s">
        <v>762</v>
      </c>
      <c r="M155" s="18">
        <v>10</v>
      </c>
      <c r="N155" s="1" t="s">
        <v>106</v>
      </c>
      <c r="O155" s="3" t="s">
        <v>107</v>
      </c>
      <c r="P155" s="3" t="s">
        <v>14</v>
      </c>
      <c r="Q155" s="11">
        <v>4</v>
      </c>
      <c r="R155" s="43">
        <f>VLOOKUP('53'!O155,Malzemeler!C:D,2,0)</f>
        <v>0</v>
      </c>
      <c r="S155" s="43">
        <f t="shared" si="9"/>
        <v>0</v>
      </c>
    </row>
    <row r="156" spans="1:19" x14ac:dyDescent="0.35">
      <c r="A156" s="104"/>
      <c r="B156" s="1">
        <v>53</v>
      </c>
      <c r="C156" s="1" t="s">
        <v>698</v>
      </c>
      <c r="D156" s="1" t="s">
        <v>698</v>
      </c>
      <c r="E156" s="1" t="s">
        <v>698</v>
      </c>
      <c r="F156" s="1" t="s">
        <v>602</v>
      </c>
      <c r="G156" s="1" t="s">
        <v>698</v>
      </c>
      <c r="H156" s="1" t="s">
        <v>698</v>
      </c>
      <c r="I156" s="1" t="s">
        <v>698</v>
      </c>
      <c r="J156" s="1">
        <f t="shared" si="12"/>
        <v>1</v>
      </c>
      <c r="L156" s="1" t="s">
        <v>762</v>
      </c>
      <c r="M156" s="18">
        <v>11</v>
      </c>
      <c r="N156" s="1" t="s">
        <v>108</v>
      </c>
      <c r="O156" s="3" t="s">
        <v>109</v>
      </c>
      <c r="P156" s="3" t="s">
        <v>14</v>
      </c>
      <c r="Q156" s="11">
        <v>4</v>
      </c>
      <c r="R156" s="43">
        <f>VLOOKUP('53'!O156,Malzemeler!C:D,2,0)</f>
        <v>0</v>
      </c>
      <c r="S156" s="43">
        <f t="shared" si="9"/>
        <v>0</v>
      </c>
    </row>
    <row r="157" spans="1:19" x14ac:dyDescent="0.35">
      <c r="A157" s="104"/>
      <c r="B157" s="1">
        <v>53</v>
      </c>
      <c r="C157" s="1" t="s">
        <v>698</v>
      </c>
      <c r="D157" s="1" t="s">
        <v>698</v>
      </c>
      <c r="E157" s="1" t="s">
        <v>698</v>
      </c>
      <c r="F157" s="1" t="s">
        <v>602</v>
      </c>
      <c r="G157" s="1" t="s">
        <v>698</v>
      </c>
      <c r="H157" s="1" t="s">
        <v>698</v>
      </c>
      <c r="I157" s="1" t="s">
        <v>698</v>
      </c>
      <c r="J157" s="1">
        <f t="shared" si="12"/>
        <v>1</v>
      </c>
      <c r="L157" s="1" t="s">
        <v>762</v>
      </c>
      <c r="M157" s="18">
        <v>12</v>
      </c>
      <c r="N157" s="1" t="s">
        <v>110</v>
      </c>
      <c r="O157" s="3" t="s">
        <v>111</v>
      </c>
      <c r="P157" s="3" t="s">
        <v>135</v>
      </c>
      <c r="Q157" s="10">
        <v>17.771999999999991</v>
      </c>
      <c r="R157" s="43">
        <f>VLOOKUP('53'!O157,Malzemeler!C:D,2,0)</f>
        <v>1.1200000000000001</v>
      </c>
      <c r="S157" s="43">
        <f t="shared" si="9"/>
        <v>19.904639999999993</v>
      </c>
    </row>
    <row r="158" spans="1:19" x14ac:dyDescent="0.35">
      <c r="A158" s="104"/>
      <c r="B158" s="1">
        <v>53</v>
      </c>
      <c r="C158" s="1" t="s">
        <v>698</v>
      </c>
      <c r="D158" s="1" t="s">
        <v>698</v>
      </c>
      <c r="E158" s="1" t="s">
        <v>698</v>
      </c>
      <c r="F158" s="1" t="s">
        <v>602</v>
      </c>
      <c r="G158" s="1" t="s">
        <v>698</v>
      </c>
      <c r="H158" s="1" t="s">
        <v>698</v>
      </c>
      <c r="I158" s="1" t="s">
        <v>698</v>
      </c>
      <c r="J158" s="1">
        <f t="shared" si="12"/>
        <v>1</v>
      </c>
      <c r="L158" s="1" t="s">
        <v>762</v>
      </c>
      <c r="M158" s="18">
        <v>13</v>
      </c>
      <c r="N158" s="1" t="s">
        <v>112</v>
      </c>
      <c r="O158" s="3" t="s">
        <v>113</v>
      </c>
      <c r="P158" s="3" t="s">
        <v>14</v>
      </c>
      <c r="Q158" s="11">
        <v>20</v>
      </c>
      <c r="R158" s="43">
        <f>VLOOKUP('53'!O158,Malzemeler!C:D,2,0)</f>
        <v>1.1200000000000001</v>
      </c>
      <c r="S158" s="43">
        <f t="shared" si="9"/>
        <v>22.400000000000002</v>
      </c>
    </row>
    <row r="159" spans="1:19" x14ac:dyDescent="0.35">
      <c r="A159" s="104"/>
      <c r="B159" s="1">
        <v>53</v>
      </c>
      <c r="C159" s="1" t="s">
        <v>698</v>
      </c>
      <c r="D159" s="1" t="s">
        <v>698</v>
      </c>
      <c r="E159" s="1" t="s">
        <v>698</v>
      </c>
      <c r="F159" s="1" t="s">
        <v>602</v>
      </c>
      <c r="G159" s="1" t="s">
        <v>698</v>
      </c>
      <c r="H159" s="1" t="s">
        <v>698</v>
      </c>
      <c r="I159" s="1" t="s">
        <v>698</v>
      </c>
      <c r="J159" s="1">
        <f t="shared" si="12"/>
        <v>1</v>
      </c>
      <c r="L159" s="1" t="s">
        <v>762</v>
      </c>
      <c r="M159" s="18">
        <v>14</v>
      </c>
      <c r="N159" s="1" t="s">
        <v>268</v>
      </c>
      <c r="O159" s="3" t="s">
        <v>269</v>
      </c>
      <c r="P159" s="3" t="s">
        <v>14</v>
      </c>
      <c r="Q159" s="11">
        <v>2</v>
      </c>
      <c r="R159" s="43">
        <f>VLOOKUP('53'!O159,Malzemeler!C:D,2,0)</f>
        <v>3.2450000000000001</v>
      </c>
      <c r="S159" s="43">
        <f t="shared" si="9"/>
        <v>6.49</v>
      </c>
    </row>
    <row r="160" spans="1:19" x14ac:dyDescent="0.35">
      <c r="A160" s="104"/>
      <c r="B160" s="1">
        <v>53</v>
      </c>
      <c r="C160" s="1" t="s">
        <v>698</v>
      </c>
      <c r="D160" s="1" t="s">
        <v>698</v>
      </c>
      <c r="E160" s="1" t="s">
        <v>698</v>
      </c>
      <c r="F160" s="1" t="s">
        <v>602</v>
      </c>
      <c r="G160" s="1" t="s">
        <v>698</v>
      </c>
      <c r="H160" s="1" t="s">
        <v>698</v>
      </c>
      <c r="I160" s="1" t="s">
        <v>698</v>
      </c>
      <c r="J160" s="1">
        <f t="shared" si="12"/>
        <v>1</v>
      </c>
      <c r="L160" s="1" t="s">
        <v>762</v>
      </c>
      <c r="M160" s="18">
        <v>15</v>
      </c>
      <c r="N160" s="1" t="s">
        <v>476</v>
      </c>
      <c r="O160" s="3" t="s">
        <v>477</v>
      </c>
      <c r="P160" s="3" t="s">
        <v>14</v>
      </c>
      <c r="Q160" s="11">
        <v>2</v>
      </c>
      <c r="R160" s="43">
        <f>VLOOKUP('53'!O160,Malzemeler!C:D,2,0)</f>
        <v>2.2709999999999999</v>
      </c>
      <c r="S160" s="43">
        <f t="shared" si="9"/>
        <v>4.5419999999999998</v>
      </c>
    </row>
    <row r="161" spans="1:19" x14ac:dyDescent="0.35">
      <c r="A161" s="104"/>
      <c r="B161" s="1">
        <v>53</v>
      </c>
      <c r="C161" s="1" t="s">
        <v>698</v>
      </c>
      <c r="D161" s="1" t="s">
        <v>698</v>
      </c>
      <c r="E161" s="1" t="s">
        <v>698</v>
      </c>
      <c r="F161" s="1" t="s">
        <v>602</v>
      </c>
      <c r="G161" s="1" t="s">
        <v>698</v>
      </c>
      <c r="H161" s="1" t="s">
        <v>698</v>
      </c>
      <c r="I161" s="1" t="s">
        <v>698</v>
      </c>
      <c r="J161" s="1">
        <f t="shared" si="12"/>
        <v>1</v>
      </c>
      <c r="L161" s="1" t="s">
        <v>762</v>
      </c>
      <c r="M161" s="18">
        <v>16</v>
      </c>
      <c r="N161" s="1" t="s">
        <v>114</v>
      </c>
      <c r="O161" s="3" t="s">
        <v>115</v>
      </c>
      <c r="P161" s="3" t="s">
        <v>135</v>
      </c>
      <c r="Q161" s="10">
        <v>2.8580000000000005</v>
      </c>
      <c r="R161" s="43">
        <f>VLOOKUP('53'!O161,Malzemeler!C:D,2,0)</f>
        <v>2.21</v>
      </c>
      <c r="S161" s="43">
        <f t="shared" si="9"/>
        <v>6.316180000000001</v>
      </c>
    </row>
    <row r="162" spans="1:19" x14ac:dyDescent="0.35">
      <c r="A162" s="104" t="s">
        <v>720</v>
      </c>
      <c r="B162" s="1">
        <v>53</v>
      </c>
      <c r="C162" s="1" t="s">
        <v>572</v>
      </c>
      <c r="D162" s="1" t="s">
        <v>698</v>
      </c>
      <c r="E162" s="1" t="s">
        <v>698</v>
      </c>
      <c r="F162" s="1" t="s">
        <v>698</v>
      </c>
      <c r="G162" s="1" t="s">
        <v>698</v>
      </c>
      <c r="H162" s="1">
        <v>1</v>
      </c>
      <c r="I162" s="1" t="s">
        <v>698</v>
      </c>
      <c r="J162" s="1">
        <f t="shared" ref="J162:J167" si="13">SUBTOTAL(103,B162)</f>
        <v>1</v>
      </c>
      <c r="L162" s="1" t="s">
        <v>726</v>
      </c>
      <c r="M162" s="18">
        <v>1</v>
      </c>
      <c r="N162" s="1" t="s">
        <v>563</v>
      </c>
      <c r="O162" s="3" t="s">
        <v>192</v>
      </c>
      <c r="P162" s="3" t="s">
        <v>14</v>
      </c>
      <c r="Q162" s="11">
        <v>1</v>
      </c>
      <c r="R162" s="43">
        <f>VLOOKUP('53'!O162,Malzemeler!C:D,2,0)</f>
        <v>410</v>
      </c>
      <c r="S162" s="43">
        <f t="shared" si="9"/>
        <v>410</v>
      </c>
    </row>
    <row r="163" spans="1:19" x14ac:dyDescent="0.35">
      <c r="A163" s="104"/>
      <c r="B163" s="1">
        <v>53</v>
      </c>
      <c r="C163" s="28" t="s">
        <v>573</v>
      </c>
      <c r="D163" s="28" t="s">
        <v>698</v>
      </c>
      <c r="E163" s="28" t="s">
        <v>698</v>
      </c>
      <c r="F163" s="28" t="s">
        <v>698</v>
      </c>
      <c r="G163" s="28" t="s">
        <v>698</v>
      </c>
      <c r="H163" s="28">
        <v>1</v>
      </c>
      <c r="I163" s="28" t="s">
        <v>698</v>
      </c>
      <c r="J163" s="28">
        <f>SUBTOTAL(103,B163)</f>
        <v>1</v>
      </c>
      <c r="L163" s="1" t="s">
        <v>727</v>
      </c>
      <c r="M163" s="27">
        <v>1</v>
      </c>
      <c r="N163" s="28" t="s">
        <v>563</v>
      </c>
      <c r="O163" s="29" t="str">
        <f>VLOOKUP(N163,Malzemeler!B:C,2,)</f>
        <v>-</v>
      </c>
      <c r="P163" s="29" t="s">
        <v>14</v>
      </c>
      <c r="Q163" s="30">
        <v>1</v>
      </c>
      <c r="R163" s="43">
        <f>VLOOKUP('53'!O163,Malzemeler!C:D,2,0)</f>
        <v>410</v>
      </c>
      <c r="S163" s="43">
        <f>+R163*Q163</f>
        <v>410</v>
      </c>
    </row>
    <row r="164" spans="1:19" x14ac:dyDescent="0.35">
      <c r="A164" s="104"/>
      <c r="B164" s="1">
        <v>53</v>
      </c>
      <c r="C164" s="1" t="s">
        <v>698</v>
      </c>
      <c r="D164" s="1" t="s">
        <v>698</v>
      </c>
      <c r="E164" s="1" t="s">
        <v>698</v>
      </c>
      <c r="F164" s="1" t="s">
        <v>698</v>
      </c>
      <c r="G164" s="1" t="s">
        <v>698</v>
      </c>
      <c r="H164" s="1">
        <v>1</v>
      </c>
      <c r="I164" s="1" t="s">
        <v>698</v>
      </c>
      <c r="J164" s="1">
        <f t="shared" si="13"/>
        <v>1</v>
      </c>
      <c r="L164" s="1" t="s">
        <v>720</v>
      </c>
      <c r="M164" s="18">
        <v>2</v>
      </c>
      <c r="N164" s="1" t="s">
        <v>392</v>
      </c>
      <c r="O164" s="3" t="s">
        <v>302</v>
      </c>
      <c r="P164" s="3" t="s">
        <v>14</v>
      </c>
      <c r="Q164" s="11">
        <v>1</v>
      </c>
      <c r="R164" s="43">
        <f>VLOOKUP('53'!O164,Malzemeler!C:D,2,0)</f>
        <v>75.899999999999991</v>
      </c>
      <c r="S164" s="43">
        <f t="shared" si="9"/>
        <v>75.899999999999991</v>
      </c>
    </row>
    <row r="165" spans="1:19" x14ac:dyDescent="0.35">
      <c r="A165" s="104"/>
      <c r="B165" s="1">
        <v>53</v>
      </c>
      <c r="C165" s="1" t="s">
        <v>698</v>
      </c>
      <c r="D165" s="1" t="s">
        <v>698</v>
      </c>
      <c r="E165" s="1" t="s">
        <v>698</v>
      </c>
      <c r="F165" s="1" t="s">
        <v>698</v>
      </c>
      <c r="G165" s="1" t="s">
        <v>698</v>
      </c>
      <c r="H165" s="1">
        <v>1</v>
      </c>
      <c r="I165" s="1" t="s">
        <v>698</v>
      </c>
      <c r="J165" s="1">
        <f t="shared" si="13"/>
        <v>1</v>
      </c>
      <c r="L165" s="1" t="s">
        <v>720</v>
      </c>
      <c r="M165" s="18">
        <v>3</v>
      </c>
      <c r="N165" s="1" t="s">
        <v>54</v>
      </c>
      <c r="O165" s="3" t="s">
        <v>57</v>
      </c>
      <c r="P165" s="3" t="s">
        <v>14</v>
      </c>
      <c r="Q165" s="11">
        <v>1</v>
      </c>
      <c r="R165" s="43">
        <f>VLOOKUP('53'!O165,Malzemeler!C:D,2,0)</f>
        <v>77.55</v>
      </c>
      <c r="S165" s="43">
        <f t="shared" si="9"/>
        <v>77.55</v>
      </c>
    </row>
    <row r="166" spans="1:19" x14ac:dyDescent="0.35">
      <c r="A166" s="104"/>
      <c r="B166" s="1">
        <v>53</v>
      </c>
      <c r="C166" s="1" t="s">
        <v>698</v>
      </c>
      <c r="D166" s="1" t="s">
        <v>698</v>
      </c>
      <c r="E166" s="1" t="s">
        <v>698</v>
      </c>
      <c r="F166" s="1" t="s">
        <v>698</v>
      </c>
      <c r="G166" s="1" t="s">
        <v>698</v>
      </c>
      <c r="H166" s="1">
        <v>1</v>
      </c>
      <c r="I166" s="1" t="s">
        <v>698</v>
      </c>
      <c r="J166" s="1">
        <f t="shared" si="13"/>
        <v>1</v>
      </c>
      <c r="L166" s="1" t="s">
        <v>720</v>
      </c>
      <c r="M166" s="18">
        <v>4</v>
      </c>
      <c r="N166" s="5" t="s">
        <v>593</v>
      </c>
      <c r="O166" s="3" t="s">
        <v>592</v>
      </c>
      <c r="P166" s="3" t="s">
        <v>14</v>
      </c>
      <c r="Q166" s="3">
        <v>1</v>
      </c>
      <c r="R166" s="43">
        <f>VLOOKUP('53'!O166,Malzemeler!C:D,2,0)</f>
        <v>0</v>
      </c>
      <c r="S166" s="43">
        <f t="shared" si="9"/>
        <v>0</v>
      </c>
    </row>
    <row r="167" spans="1:19" ht="34.799999999999997" x14ac:dyDescent="0.35">
      <c r="A167" s="40" t="s">
        <v>721</v>
      </c>
      <c r="B167" s="1">
        <v>53</v>
      </c>
      <c r="C167" s="1" t="s">
        <v>698</v>
      </c>
      <c r="D167" s="1" t="s">
        <v>698</v>
      </c>
      <c r="E167" s="1" t="s">
        <v>698</v>
      </c>
      <c r="F167" s="1" t="s">
        <v>698</v>
      </c>
      <c r="G167" s="1" t="s">
        <v>698</v>
      </c>
      <c r="H167" s="1" t="s">
        <v>698</v>
      </c>
      <c r="I167" s="1">
        <v>1</v>
      </c>
      <c r="J167" s="1">
        <f t="shared" si="13"/>
        <v>1</v>
      </c>
      <c r="L167" s="1" t="s">
        <v>721</v>
      </c>
      <c r="M167" s="7">
        <v>1</v>
      </c>
      <c r="N167" s="5" t="s">
        <v>668</v>
      </c>
      <c r="O167" s="3" t="s">
        <v>669</v>
      </c>
      <c r="P167" s="3" t="s">
        <v>14</v>
      </c>
      <c r="Q167" s="3">
        <v>1</v>
      </c>
      <c r="R167" s="43">
        <f>VLOOKUP('53'!O167,Malzemeler!C:D,2,0)</f>
        <v>0</v>
      </c>
      <c r="S167" s="43">
        <f t="shared" si="9"/>
        <v>0</v>
      </c>
    </row>
  </sheetData>
  <mergeCells count="5">
    <mergeCell ref="A145:A161"/>
    <mergeCell ref="A162:A166"/>
    <mergeCell ref="A131:A144"/>
    <mergeCell ref="A3:A95"/>
    <mergeCell ref="A96:A12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2FC07-E237-4581-B10E-E6708049F7CE}">
  <sheetPr codeName="Sayfa11"/>
  <dimension ref="A1:U174"/>
  <sheetViews>
    <sheetView topLeftCell="F103" zoomScale="85" zoomScaleNormal="85" workbookViewId="0">
      <selection activeCell="O127" sqref="O127:O130"/>
    </sheetView>
  </sheetViews>
  <sheetFormatPr defaultColWidth="8.6640625" defaultRowHeight="15" x14ac:dyDescent="0.35"/>
  <cols>
    <col min="1" max="1" width="5.21875" style="1" customWidth="1"/>
    <col min="2" max="2" width="6.6640625" style="1" bestFit="1" customWidth="1"/>
    <col min="3" max="3" width="5.21875" style="1" customWidth="1"/>
    <col min="4" max="4" width="13.77734375" style="1" bestFit="1" customWidth="1"/>
    <col min="5" max="5" width="11.5546875" style="1" bestFit="1" customWidth="1"/>
    <col min="6" max="6" width="16.77734375" style="1" bestFit="1" customWidth="1"/>
    <col min="7" max="7" width="9.6640625" style="1" bestFit="1" customWidth="1"/>
    <col min="8" max="8" width="8.44140625" style="1" bestFit="1" customWidth="1"/>
    <col min="9" max="9" width="6.77734375" style="1" bestFit="1" customWidth="1"/>
    <col min="10" max="11" width="5.21875" style="1" customWidth="1"/>
    <col min="12" max="12" width="27" style="1" bestFit="1" customWidth="1"/>
    <col min="13" max="13" width="4.21875" style="2" customWidth="1"/>
    <col min="14" max="14" width="89.77734375" style="1" customWidth="1"/>
    <col min="15" max="15" width="28.6640625" style="3" customWidth="1"/>
    <col min="16" max="16" width="6.88671875" style="3" customWidth="1"/>
    <col min="17" max="17" width="8.88671875" style="3" customWidth="1"/>
    <col min="18" max="18" width="17.109375" style="3" bestFit="1" customWidth="1"/>
    <col min="19" max="19" width="14.88671875" style="1" bestFit="1" customWidth="1"/>
    <col min="20" max="20" width="32.77734375" style="1" bestFit="1" customWidth="1"/>
    <col min="21" max="21" width="17.21875" style="1" bestFit="1" customWidth="1"/>
    <col min="22" max="22" width="4.21875" style="1" bestFit="1" customWidth="1"/>
    <col min="23" max="23" width="32.6640625" style="1" bestFit="1" customWidth="1"/>
    <col min="24" max="24" width="18" style="1" bestFit="1" customWidth="1"/>
    <col min="25" max="25" width="7.21875" style="1" bestFit="1" customWidth="1"/>
    <col min="26" max="26" width="9.109375" style="1" bestFit="1" customWidth="1"/>
    <col min="27" max="16384" width="8.6640625" style="1"/>
  </cols>
  <sheetData>
    <row r="1" spans="1:21" x14ac:dyDescent="0.35">
      <c r="B1" s="5" t="s">
        <v>493</v>
      </c>
      <c r="C1" s="5" t="s">
        <v>571</v>
      </c>
      <c r="D1" s="5" t="s">
        <v>569</v>
      </c>
      <c r="E1" s="5" t="s">
        <v>570</v>
      </c>
      <c r="F1" s="5" t="s">
        <v>581</v>
      </c>
      <c r="G1" s="5" t="s">
        <v>599</v>
      </c>
      <c r="H1" s="5" t="s">
        <v>600</v>
      </c>
      <c r="I1" s="5" t="s">
        <v>601</v>
      </c>
      <c r="N1" s="4" t="s">
        <v>405</v>
      </c>
    </row>
    <row r="2" spans="1:21" x14ac:dyDescent="0.35">
      <c r="B2" s="1">
        <v>64</v>
      </c>
      <c r="C2" s="1" t="s">
        <v>698</v>
      </c>
      <c r="D2" s="1" t="s">
        <v>698</v>
      </c>
      <c r="E2" s="1" t="s">
        <v>698</v>
      </c>
      <c r="F2" s="1" t="s">
        <v>698</v>
      </c>
      <c r="G2" s="1" t="s">
        <v>698</v>
      </c>
      <c r="H2" s="1" t="s">
        <v>698</v>
      </c>
      <c r="I2" s="1" t="s">
        <v>698</v>
      </c>
      <c r="J2" s="1">
        <f>SUBTOTAL(103,B2)</f>
        <v>1</v>
      </c>
      <c r="M2" s="8" t="s">
        <v>1</v>
      </c>
      <c r="N2" s="9" t="s">
        <v>2</v>
      </c>
      <c r="O2" s="9" t="s">
        <v>3</v>
      </c>
      <c r="P2" s="9" t="s">
        <v>4</v>
      </c>
      <c r="Q2" s="9" t="s">
        <v>5</v>
      </c>
      <c r="R2" s="9" t="s">
        <v>739</v>
      </c>
      <c r="S2" s="9" t="s">
        <v>740</v>
      </c>
    </row>
    <row r="3" spans="1:21" ht="15" customHeight="1" x14ac:dyDescent="0.35">
      <c r="A3" s="104" t="s">
        <v>723</v>
      </c>
      <c r="B3" s="1">
        <v>64</v>
      </c>
      <c r="C3" s="1" t="s">
        <v>698</v>
      </c>
      <c r="D3" s="1" t="s">
        <v>698</v>
      </c>
      <c r="E3" s="1" t="s">
        <v>698</v>
      </c>
      <c r="F3" s="1" t="s">
        <v>698</v>
      </c>
      <c r="G3" s="1" t="s">
        <v>698</v>
      </c>
      <c r="H3" s="1" t="s">
        <v>698</v>
      </c>
      <c r="I3" s="1" t="s">
        <v>698</v>
      </c>
      <c r="J3" s="1">
        <f>SUBTOTAL(103,B3)</f>
        <v>1</v>
      </c>
      <c r="L3" s="1" t="s">
        <v>723</v>
      </c>
      <c r="M3" s="7">
        <v>1</v>
      </c>
      <c r="N3" s="69" t="s">
        <v>406</v>
      </c>
      <c r="O3" s="3" t="s">
        <v>497</v>
      </c>
      <c r="P3" s="3" t="s">
        <v>14</v>
      </c>
      <c r="Q3" s="3">
        <v>1</v>
      </c>
      <c r="R3" s="43">
        <f>VLOOKUP('64'!O3,Malzemeler!C:D,2,0)</f>
        <v>2283.56</v>
      </c>
      <c r="S3" s="43">
        <f>+R3*Q3</f>
        <v>2283.56</v>
      </c>
    </row>
    <row r="4" spans="1:21" x14ac:dyDescent="0.35">
      <c r="A4" s="104"/>
      <c r="B4" s="1">
        <v>64</v>
      </c>
      <c r="C4" s="1" t="s">
        <v>698</v>
      </c>
      <c r="D4" s="1" t="s">
        <v>698</v>
      </c>
      <c r="E4" s="1" t="s">
        <v>698</v>
      </c>
      <c r="F4" s="1" t="s">
        <v>698</v>
      </c>
      <c r="G4" s="1" t="s">
        <v>698</v>
      </c>
      <c r="H4" s="1" t="s">
        <v>698</v>
      </c>
      <c r="I4" s="1" t="s">
        <v>698</v>
      </c>
      <c r="J4" s="1">
        <f t="shared" ref="J4:J123" si="0">SUBTOTAL(103,B4)</f>
        <v>1</v>
      </c>
      <c r="L4" s="1" t="s">
        <v>723</v>
      </c>
      <c r="M4" s="7">
        <v>2</v>
      </c>
      <c r="N4" s="5" t="s">
        <v>205</v>
      </c>
      <c r="O4" s="3" t="s">
        <v>552</v>
      </c>
      <c r="P4" s="3" t="s">
        <v>14</v>
      </c>
      <c r="Q4" s="3">
        <v>1</v>
      </c>
      <c r="R4" s="43">
        <f>VLOOKUP('64'!O4,Malzemeler!C:D,2,0)</f>
        <v>45.916499999999999</v>
      </c>
      <c r="S4" s="43">
        <f t="shared" ref="S4:S66" si="1">+R4*Q4</f>
        <v>45.916499999999999</v>
      </c>
    </row>
    <row r="5" spans="1:21" x14ac:dyDescent="0.35">
      <c r="A5" s="104"/>
      <c r="B5" s="1">
        <v>64</v>
      </c>
      <c r="C5" s="1" t="s">
        <v>698</v>
      </c>
      <c r="D5" s="1" t="s">
        <v>698</v>
      </c>
      <c r="E5" s="1" t="s">
        <v>698</v>
      </c>
      <c r="F5" s="1" t="s">
        <v>698</v>
      </c>
      <c r="G5" s="1" t="s">
        <v>698</v>
      </c>
      <c r="H5" s="1" t="s">
        <v>698</v>
      </c>
      <c r="I5" s="1" t="s">
        <v>698</v>
      </c>
      <c r="J5" s="1">
        <f t="shared" si="0"/>
        <v>1</v>
      </c>
      <c r="L5" s="1" t="s">
        <v>723</v>
      </c>
      <c r="M5" s="7">
        <v>3</v>
      </c>
      <c r="N5" s="5" t="s">
        <v>408</v>
      </c>
      <c r="O5" s="3" t="s">
        <v>508</v>
      </c>
      <c r="P5" s="3" t="s">
        <v>14</v>
      </c>
      <c r="Q5" s="3">
        <v>1</v>
      </c>
      <c r="R5" s="43">
        <f>VLOOKUP('64'!O5,Malzemeler!C:D,2,0)</f>
        <v>31.8</v>
      </c>
      <c r="S5" s="43">
        <f t="shared" si="1"/>
        <v>31.8</v>
      </c>
    </row>
    <row r="6" spans="1:21" x14ac:dyDescent="0.35">
      <c r="A6" s="104"/>
      <c r="B6" s="1">
        <v>64</v>
      </c>
      <c r="C6" s="1" t="s">
        <v>698</v>
      </c>
      <c r="D6" s="1" t="s">
        <v>698</v>
      </c>
      <c r="E6" s="1" t="s">
        <v>698</v>
      </c>
      <c r="F6" s="1" t="s">
        <v>698</v>
      </c>
      <c r="G6" s="1" t="s">
        <v>698</v>
      </c>
      <c r="H6" s="1" t="s">
        <v>698</v>
      </c>
      <c r="I6" s="1" t="s">
        <v>698</v>
      </c>
      <c r="J6" s="1">
        <f t="shared" si="0"/>
        <v>1</v>
      </c>
      <c r="L6" s="1" t="s">
        <v>723</v>
      </c>
      <c r="M6" s="7">
        <v>4</v>
      </c>
      <c r="N6" s="5" t="s">
        <v>409</v>
      </c>
      <c r="O6" s="3" t="s">
        <v>514</v>
      </c>
      <c r="P6" s="3" t="s">
        <v>14</v>
      </c>
      <c r="Q6" s="3">
        <v>1</v>
      </c>
      <c r="R6" s="43">
        <f>VLOOKUP('64'!O6,Malzemeler!C:D,2,0)</f>
        <v>25.5</v>
      </c>
      <c r="S6" s="43">
        <f t="shared" si="1"/>
        <v>25.5</v>
      </c>
    </row>
    <row r="7" spans="1:21" x14ac:dyDescent="0.35">
      <c r="A7" s="104"/>
      <c r="B7" s="1">
        <v>64</v>
      </c>
      <c r="C7" s="1" t="s">
        <v>698</v>
      </c>
      <c r="D7" s="1" t="s">
        <v>698</v>
      </c>
      <c r="E7" s="1" t="s">
        <v>698</v>
      </c>
      <c r="F7" s="1" t="s">
        <v>698</v>
      </c>
      <c r="G7" s="1" t="s">
        <v>698</v>
      </c>
      <c r="H7" s="1" t="s">
        <v>698</v>
      </c>
      <c r="I7" s="1" t="s">
        <v>698</v>
      </c>
      <c r="J7" s="1">
        <f t="shared" si="0"/>
        <v>1</v>
      </c>
      <c r="L7" s="1" t="s">
        <v>723</v>
      </c>
      <c r="M7" s="7">
        <v>5</v>
      </c>
      <c r="N7" s="5" t="s">
        <v>410</v>
      </c>
      <c r="O7" s="3" t="s">
        <v>519</v>
      </c>
      <c r="P7" s="3" t="s">
        <v>14</v>
      </c>
      <c r="Q7" s="3">
        <v>1</v>
      </c>
      <c r="R7" s="43">
        <f>VLOOKUP('64'!O7,Malzemeler!C:D,2,0)</f>
        <v>38.85</v>
      </c>
      <c r="S7" s="43">
        <f t="shared" si="1"/>
        <v>38.85</v>
      </c>
    </row>
    <row r="8" spans="1:21" x14ac:dyDescent="0.35">
      <c r="A8" s="104"/>
      <c r="B8" s="1">
        <v>64</v>
      </c>
      <c r="C8" s="1" t="s">
        <v>698</v>
      </c>
      <c r="D8" s="1" t="s">
        <v>698</v>
      </c>
      <c r="E8" s="1" t="s">
        <v>698</v>
      </c>
      <c r="F8" s="1" t="s">
        <v>698</v>
      </c>
      <c r="G8" s="1" t="s">
        <v>698</v>
      </c>
      <c r="H8" s="1" t="s">
        <v>698</v>
      </c>
      <c r="I8" s="1" t="s">
        <v>698</v>
      </c>
      <c r="J8" s="1">
        <f t="shared" si="0"/>
        <v>1</v>
      </c>
      <c r="L8" s="1" t="s">
        <v>723</v>
      </c>
      <c r="M8" s="7">
        <v>6</v>
      </c>
      <c r="N8" s="5" t="s">
        <v>712</v>
      </c>
      <c r="O8" s="3" t="s">
        <v>714</v>
      </c>
      <c r="P8" s="3" t="s">
        <v>14</v>
      </c>
      <c r="Q8" s="3">
        <v>2</v>
      </c>
      <c r="R8" s="43">
        <f>VLOOKUP('64'!O8,Malzemeler!C:D,2,0)</f>
        <v>0</v>
      </c>
      <c r="S8" s="43">
        <f t="shared" si="1"/>
        <v>0</v>
      </c>
    </row>
    <row r="9" spans="1:21" x14ac:dyDescent="0.35">
      <c r="A9" s="104"/>
      <c r="B9" s="1">
        <v>64</v>
      </c>
      <c r="C9" s="1" t="s">
        <v>698</v>
      </c>
      <c r="D9" s="1" t="s">
        <v>698</v>
      </c>
      <c r="E9" s="1" t="s">
        <v>698</v>
      </c>
      <c r="F9" s="1" t="s">
        <v>698</v>
      </c>
      <c r="G9" s="1" t="s">
        <v>698</v>
      </c>
      <c r="H9" s="1" t="s">
        <v>698</v>
      </c>
      <c r="I9" s="1" t="s">
        <v>698</v>
      </c>
      <c r="J9" s="1">
        <f t="shared" si="0"/>
        <v>1</v>
      </c>
      <c r="L9" s="1" t="s">
        <v>723</v>
      </c>
      <c r="M9" s="7">
        <v>7</v>
      </c>
      <c r="N9" s="5" t="s">
        <v>713</v>
      </c>
      <c r="O9" s="3" t="s">
        <v>715</v>
      </c>
      <c r="P9" s="3" t="s">
        <v>14</v>
      </c>
      <c r="Q9" s="3">
        <v>1</v>
      </c>
      <c r="R9" s="43">
        <f>VLOOKUP('64'!O9,Malzemeler!C:D,2,0)</f>
        <v>0</v>
      </c>
      <c r="S9" s="43">
        <f t="shared" si="1"/>
        <v>0</v>
      </c>
    </row>
    <row r="10" spans="1:21" x14ac:dyDescent="0.35">
      <c r="A10" s="104"/>
      <c r="B10" s="1">
        <v>64</v>
      </c>
      <c r="C10" s="1" t="s">
        <v>698</v>
      </c>
      <c r="D10" s="1" t="s">
        <v>698</v>
      </c>
      <c r="E10" s="1" t="s">
        <v>698</v>
      </c>
      <c r="F10" s="1" t="s">
        <v>698</v>
      </c>
      <c r="G10" s="1" t="s">
        <v>698</v>
      </c>
      <c r="H10" s="1" t="s">
        <v>698</v>
      </c>
      <c r="I10" s="1" t="s">
        <v>698</v>
      </c>
      <c r="J10" s="1">
        <f t="shared" si="0"/>
        <v>1</v>
      </c>
      <c r="L10" s="1" t="s">
        <v>723</v>
      </c>
      <c r="M10" s="7">
        <v>8</v>
      </c>
      <c r="N10" s="5" t="s">
        <v>440</v>
      </c>
      <c r="O10" s="3" t="s">
        <v>74</v>
      </c>
      <c r="P10" s="3" t="s">
        <v>14</v>
      </c>
      <c r="Q10" s="3">
        <v>2</v>
      </c>
      <c r="R10" s="43">
        <f>VLOOKUP('64'!O10,Malzemeler!C:D,2,0)</f>
        <v>16.149999999999999</v>
      </c>
      <c r="S10" s="43">
        <f t="shared" si="1"/>
        <v>32.299999999999997</v>
      </c>
      <c r="U10" s="3"/>
    </row>
    <row r="11" spans="1:21" x14ac:dyDescent="0.35">
      <c r="A11" s="104"/>
      <c r="B11" s="1">
        <v>64</v>
      </c>
      <c r="C11" s="1" t="s">
        <v>698</v>
      </c>
      <c r="D11" s="1" t="s">
        <v>698</v>
      </c>
      <c r="E11" s="1" t="s">
        <v>698</v>
      </c>
      <c r="F11" s="1" t="s">
        <v>698</v>
      </c>
      <c r="G11" s="1" t="s">
        <v>698</v>
      </c>
      <c r="H11" s="1" t="s">
        <v>698</v>
      </c>
      <c r="I11" s="1" t="s">
        <v>698</v>
      </c>
      <c r="J11" s="1">
        <f t="shared" si="0"/>
        <v>1</v>
      </c>
      <c r="L11" s="1" t="s">
        <v>723</v>
      </c>
      <c r="M11" s="7">
        <v>9</v>
      </c>
      <c r="N11" s="5" t="s">
        <v>441</v>
      </c>
      <c r="O11" s="3" t="s">
        <v>354</v>
      </c>
      <c r="P11" s="3" t="s">
        <v>14</v>
      </c>
      <c r="Q11" s="3">
        <v>4</v>
      </c>
      <c r="R11" s="43">
        <f>VLOOKUP('64'!O11,Malzemeler!C:D,2,0)</f>
        <v>20.8</v>
      </c>
      <c r="S11" s="43">
        <f t="shared" si="1"/>
        <v>83.2</v>
      </c>
      <c r="U11" s="3"/>
    </row>
    <row r="12" spans="1:21" x14ac:dyDescent="0.35">
      <c r="A12" s="104"/>
      <c r="B12" s="1">
        <v>64</v>
      </c>
      <c r="C12" s="1" t="s">
        <v>698</v>
      </c>
      <c r="D12" s="1" t="s">
        <v>698</v>
      </c>
      <c r="E12" s="1" t="s">
        <v>698</v>
      </c>
      <c r="F12" s="1" t="s">
        <v>698</v>
      </c>
      <c r="G12" s="1" t="s">
        <v>698</v>
      </c>
      <c r="H12" s="1" t="s">
        <v>698</v>
      </c>
      <c r="I12" s="1" t="s">
        <v>698</v>
      </c>
      <c r="J12" s="1">
        <f t="shared" si="0"/>
        <v>1</v>
      </c>
      <c r="L12" s="1" t="s">
        <v>723</v>
      </c>
      <c r="M12" s="7">
        <v>10</v>
      </c>
      <c r="N12" s="5" t="s">
        <v>420</v>
      </c>
      <c r="O12" s="3" t="s">
        <v>421</v>
      </c>
      <c r="P12" s="3" t="s">
        <v>14</v>
      </c>
      <c r="Q12" s="3">
        <v>4</v>
      </c>
      <c r="R12" s="43">
        <f>VLOOKUP('64'!O12,Malzemeler!C:D,2,0)</f>
        <v>31.85</v>
      </c>
      <c r="S12" s="43">
        <f t="shared" si="1"/>
        <v>127.4</v>
      </c>
      <c r="U12" s="3"/>
    </row>
    <row r="13" spans="1:21" x14ac:dyDescent="0.35">
      <c r="A13" s="104"/>
      <c r="B13" s="1">
        <v>64</v>
      </c>
      <c r="C13" s="1" t="s">
        <v>698</v>
      </c>
      <c r="D13" s="1" t="s">
        <v>698</v>
      </c>
      <c r="E13" s="1" t="s">
        <v>698</v>
      </c>
      <c r="F13" s="1" t="s">
        <v>698</v>
      </c>
      <c r="G13" s="1" t="s">
        <v>698</v>
      </c>
      <c r="H13" s="1" t="s">
        <v>698</v>
      </c>
      <c r="I13" s="1" t="s">
        <v>698</v>
      </c>
      <c r="J13" s="1">
        <f t="shared" si="0"/>
        <v>1</v>
      </c>
      <c r="L13" s="1" t="s">
        <v>723</v>
      </c>
      <c r="M13" s="7">
        <v>11</v>
      </c>
      <c r="N13" s="5" t="s">
        <v>400</v>
      </c>
      <c r="O13" s="3" t="s">
        <v>200</v>
      </c>
      <c r="P13" s="3" t="s">
        <v>14</v>
      </c>
      <c r="Q13" s="3">
        <v>4</v>
      </c>
      <c r="R13" s="43">
        <f>VLOOKUP('64'!O13,Malzemeler!C:D,2,0)</f>
        <v>0.8</v>
      </c>
      <c r="S13" s="43">
        <f t="shared" si="1"/>
        <v>3.2</v>
      </c>
    </row>
    <row r="14" spans="1:21" x14ac:dyDescent="0.35">
      <c r="A14" s="104"/>
      <c r="B14" s="1">
        <v>64</v>
      </c>
      <c r="C14" s="1" t="s">
        <v>698</v>
      </c>
      <c r="D14" s="1" t="s">
        <v>698</v>
      </c>
      <c r="E14" s="1" t="s">
        <v>698</v>
      </c>
      <c r="F14" s="1" t="s">
        <v>698</v>
      </c>
      <c r="G14" s="1" t="s">
        <v>698</v>
      </c>
      <c r="H14" s="1" t="s">
        <v>698</v>
      </c>
      <c r="I14" s="1" t="s">
        <v>698</v>
      </c>
      <c r="J14" s="1">
        <f t="shared" si="0"/>
        <v>1</v>
      </c>
      <c r="L14" s="1" t="s">
        <v>723</v>
      </c>
      <c r="M14" s="7">
        <v>12</v>
      </c>
      <c r="N14" s="5" t="s">
        <v>401</v>
      </c>
      <c r="O14" s="3" t="s">
        <v>282</v>
      </c>
      <c r="P14" s="3" t="s">
        <v>14</v>
      </c>
      <c r="Q14" s="3">
        <v>4</v>
      </c>
      <c r="R14" s="43">
        <f>VLOOKUP('64'!O14,Malzemeler!C:D,2,0)</f>
        <v>0.95</v>
      </c>
      <c r="S14" s="43">
        <f t="shared" si="1"/>
        <v>3.8</v>
      </c>
    </row>
    <row r="15" spans="1:21" x14ac:dyDescent="0.35">
      <c r="A15" s="104"/>
      <c r="B15" s="1">
        <v>64</v>
      </c>
      <c r="C15" s="1" t="s">
        <v>698</v>
      </c>
      <c r="D15" s="1" t="s">
        <v>698</v>
      </c>
      <c r="E15" s="1" t="s">
        <v>698</v>
      </c>
      <c r="F15" s="1" t="s">
        <v>698</v>
      </c>
      <c r="G15" s="1" t="s">
        <v>698</v>
      </c>
      <c r="H15" s="1" t="s">
        <v>698</v>
      </c>
      <c r="I15" s="1" t="s">
        <v>698</v>
      </c>
      <c r="J15" s="1">
        <f t="shared" si="0"/>
        <v>1</v>
      </c>
      <c r="L15" s="1" t="s">
        <v>723</v>
      </c>
      <c r="M15" s="7">
        <v>13</v>
      </c>
      <c r="N15" s="5" t="s">
        <v>443</v>
      </c>
      <c r="O15" s="3" t="s">
        <v>444</v>
      </c>
      <c r="P15" s="3" t="s">
        <v>14</v>
      </c>
      <c r="Q15" s="3">
        <v>4</v>
      </c>
      <c r="R15" s="43">
        <f>VLOOKUP('64'!O15,Malzemeler!C:D,2,0)</f>
        <v>3.55</v>
      </c>
      <c r="S15" s="43">
        <f t="shared" si="1"/>
        <v>14.2</v>
      </c>
    </row>
    <row r="16" spans="1:21" x14ac:dyDescent="0.35">
      <c r="A16" s="104"/>
      <c r="B16" s="1">
        <v>64</v>
      </c>
      <c r="C16" s="1" t="s">
        <v>698</v>
      </c>
      <c r="D16" s="1" t="s">
        <v>698</v>
      </c>
      <c r="E16" s="1" t="s">
        <v>698</v>
      </c>
      <c r="F16" s="1" t="s">
        <v>698</v>
      </c>
      <c r="G16" s="1" t="s">
        <v>698</v>
      </c>
      <c r="H16" s="1" t="s">
        <v>698</v>
      </c>
      <c r="I16" s="1" t="s">
        <v>698</v>
      </c>
      <c r="J16" s="1">
        <f t="shared" si="0"/>
        <v>1</v>
      </c>
      <c r="L16" s="1" t="s">
        <v>723</v>
      </c>
      <c r="M16" s="7">
        <v>14</v>
      </c>
      <c r="N16" s="5" t="s">
        <v>402</v>
      </c>
      <c r="O16" s="3" t="s">
        <v>403</v>
      </c>
      <c r="P16" s="3" t="s">
        <v>135</v>
      </c>
      <c r="Q16" s="3">
        <v>6</v>
      </c>
      <c r="R16" s="43">
        <f>VLOOKUP('64'!O16,Malzemeler!C:D,2,0)</f>
        <v>1.6E-2</v>
      </c>
      <c r="S16" s="43">
        <f t="shared" si="1"/>
        <v>9.6000000000000002E-2</v>
      </c>
    </row>
    <row r="17" spans="1:19" x14ac:dyDescent="0.35">
      <c r="A17" s="104"/>
      <c r="B17" s="1">
        <v>64</v>
      </c>
      <c r="C17" s="1" t="s">
        <v>698</v>
      </c>
      <c r="D17" s="1" t="s">
        <v>698</v>
      </c>
      <c r="E17" s="1" t="s">
        <v>698</v>
      </c>
      <c r="F17" s="1" t="s">
        <v>698</v>
      </c>
      <c r="G17" s="1" t="s">
        <v>698</v>
      </c>
      <c r="H17" s="1" t="s">
        <v>698</v>
      </c>
      <c r="I17" s="1" t="s">
        <v>698</v>
      </c>
      <c r="J17" s="1">
        <f t="shared" si="0"/>
        <v>1</v>
      </c>
      <c r="L17" s="1" t="s">
        <v>723</v>
      </c>
      <c r="M17" s="7">
        <v>15</v>
      </c>
      <c r="N17" s="5" t="s">
        <v>87</v>
      </c>
      <c r="O17" s="3" t="s">
        <v>88</v>
      </c>
      <c r="P17" s="3" t="s">
        <v>14</v>
      </c>
      <c r="Q17" s="3">
        <v>0.3</v>
      </c>
      <c r="R17" s="43">
        <f>VLOOKUP('64'!O17,Malzemeler!C:D,2,0)</f>
        <v>1615.6</v>
      </c>
      <c r="S17" s="43">
        <f t="shared" si="1"/>
        <v>484.67999999999995</v>
      </c>
    </row>
    <row r="18" spans="1:19" x14ac:dyDescent="0.35">
      <c r="A18" s="104"/>
      <c r="B18" s="1">
        <v>64</v>
      </c>
      <c r="C18" s="1" t="s">
        <v>698</v>
      </c>
      <c r="D18" s="1" t="s">
        <v>698</v>
      </c>
      <c r="E18" s="1" t="s">
        <v>698</v>
      </c>
      <c r="F18" s="1" t="s">
        <v>698</v>
      </c>
      <c r="G18" s="1" t="s">
        <v>698</v>
      </c>
      <c r="H18" s="1" t="s">
        <v>698</v>
      </c>
      <c r="I18" s="1" t="s">
        <v>698</v>
      </c>
      <c r="J18" s="1">
        <f t="shared" si="0"/>
        <v>1</v>
      </c>
      <c r="L18" s="1" t="s">
        <v>723</v>
      </c>
      <c r="M18" s="7">
        <v>16</v>
      </c>
      <c r="N18" s="5" t="s">
        <v>69</v>
      </c>
      <c r="O18" s="3" t="s">
        <v>81</v>
      </c>
      <c r="P18" s="3" t="s">
        <v>14</v>
      </c>
      <c r="Q18" s="3">
        <v>0.5</v>
      </c>
      <c r="R18" s="43">
        <f>VLOOKUP('64'!O18,Malzemeler!C:D,2,0)</f>
        <v>40</v>
      </c>
      <c r="S18" s="43">
        <f t="shared" si="1"/>
        <v>20</v>
      </c>
    </row>
    <row r="19" spans="1:19" x14ac:dyDescent="0.35">
      <c r="A19" s="104"/>
      <c r="B19" s="1">
        <v>64</v>
      </c>
      <c r="C19" s="1" t="s">
        <v>698</v>
      </c>
      <c r="D19" s="1" t="s">
        <v>698</v>
      </c>
      <c r="E19" s="1" t="s">
        <v>698</v>
      </c>
      <c r="F19" s="1" t="s">
        <v>698</v>
      </c>
      <c r="G19" s="1" t="s">
        <v>698</v>
      </c>
      <c r="H19" s="1" t="s">
        <v>698</v>
      </c>
      <c r="I19" s="1" t="s">
        <v>698</v>
      </c>
      <c r="J19" s="1">
        <f t="shared" si="0"/>
        <v>1</v>
      </c>
      <c r="L19" s="1" t="s">
        <v>723</v>
      </c>
      <c r="M19" s="7">
        <v>17</v>
      </c>
      <c r="N19" s="5" t="s">
        <v>89</v>
      </c>
      <c r="O19" s="3" t="s">
        <v>75</v>
      </c>
      <c r="P19" s="3" t="s">
        <v>14</v>
      </c>
      <c r="Q19" s="3">
        <v>0.2</v>
      </c>
      <c r="R19" s="43">
        <f>VLOOKUP('64'!O19,Malzemeler!C:D,2,0)</f>
        <v>150</v>
      </c>
      <c r="S19" s="43">
        <f t="shared" si="1"/>
        <v>30</v>
      </c>
    </row>
    <row r="20" spans="1:19" x14ac:dyDescent="0.35">
      <c r="A20" s="104"/>
      <c r="B20" s="1">
        <v>64</v>
      </c>
      <c r="C20" s="1" t="s">
        <v>698</v>
      </c>
      <c r="D20" s="1" t="s">
        <v>698</v>
      </c>
      <c r="E20" s="1" t="s">
        <v>698</v>
      </c>
      <c r="F20" s="1" t="s">
        <v>698</v>
      </c>
      <c r="G20" s="1" t="s">
        <v>698</v>
      </c>
      <c r="H20" s="1" t="s">
        <v>698</v>
      </c>
      <c r="I20" s="1" t="s">
        <v>698</v>
      </c>
      <c r="J20" s="1">
        <f t="shared" si="0"/>
        <v>1</v>
      </c>
      <c r="L20" s="1" t="s">
        <v>723</v>
      </c>
      <c r="M20" s="7">
        <v>18</v>
      </c>
      <c r="N20" s="5" t="s">
        <v>66</v>
      </c>
      <c r="O20" s="3" t="s">
        <v>78</v>
      </c>
      <c r="P20" s="3" t="s">
        <v>14</v>
      </c>
      <c r="Q20" s="3">
        <v>0.8</v>
      </c>
      <c r="R20" s="43">
        <f>VLOOKUP('64'!O20,Malzemeler!C:D,2,0)</f>
        <v>30</v>
      </c>
      <c r="S20" s="43">
        <f t="shared" si="1"/>
        <v>24</v>
      </c>
    </row>
    <row r="21" spans="1:19" x14ac:dyDescent="0.35">
      <c r="A21" s="104"/>
      <c r="B21" s="1">
        <v>64</v>
      </c>
      <c r="C21" s="1" t="s">
        <v>698</v>
      </c>
      <c r="D21" s="1" t="s">
        <v>698</v>
      </c>
      <c r="E21" s="1" t="s">
        <v>698</v>
      </c>
      <c r="F21" s="1" t="s">
        <v>698</v>
      </c>
      <c r="G21" s="1" t="s">
        <v>698</v>
      </c>
      <c r="H21" s="1" t="s">
        <v>698</v>
      </c>
      <c r="I21" s="1" t="s">
        <v>698</v>
      </c>
      <c r="J21" s="1">
        <f t="shared" si="0"/>
        <v>1</v>
      </c>
      <c r="L21" s="1" t="s">
        <v>723</v>
      </c>
      <c r="M21" s="7">
        <v>19</v>
      </c>
      <c r="N21" s="5" t="s">
        <v>65</v>
      </c>
      <c r="O21" s="3" t="s">
        <v>77</v>
      </c>
      <c r="P21" s="3" t="s">
        <v>14</v>
      </c>
      <c r="Q21" s="3">
        <v>7</v>
      </c>
      <c r="R21" s="43">
        <f>VLOOKUP('64'!O21,Malzemeler!C:D,2,0)</f>
        <v>150</v>
      </c>
      <c r="S21" s="43">
        <f t="shared" si="1"/>
        <v>1050</v>
      </c>
    </row>
    <row r="22" spans="1:19" x14ac:dyDescent="0.35">
      <c r="A22" s="104"/>
      <c r="B22" s="1">
        <v>64</v>
      </c>
      <c r="C22" s="1" t="s">
        <v>698</v>
      </c>
      <c r="D22" s="1" t="s">
        <v>698</v>
      </c>
      <c r="E22" s="1" t="s">
        <v>698</v>
      </c>
      <c r="F22" s="1" t="s">
        <v>698</v>
      </c>
      <c r="G22" s="1" t="s">
        <v>698</v>
      </c>
      <c r="H22" s="1" t="s">
        <v>698</v>
      </c>
      <c r="I22" s="1" t="s">
        <v>698</v>
      </c>
      <c r="J22" s="1">
        <f t="shared" si="0"/>
        <v>1</v>
      </c>
      <c r="L22" s="1" t="s">
        <v>723</v>
      </c>
      <c r="M22" s="7">
        <v>20</v>
      </c>
      <c r="N22" s="5" t="s">
        <v>293</v>
      </c>
      <c r="O22" s="3" t="s">
        <v>294</v>
      </c>
      <c r="P22" s="3" t="s">
        <v>14</v>
      </c>
      <c r="Q22" s="3">
        <v>2</v>
      </c>
      <c r="R22" s="43">
        <f>VLOOKUP('64'!O22,Malzemeler!C:D,2,0)</f>
        <v>812.4</v>
      </c>
      <c r="S22" s="43">
        <f t="shared" si="1"/>
        <v>1624.8</v>
      </c>
    </row>
    <row r="23" spans="1:19" x14ac:dyDescent="0.35">
      <c r="A23" s="104"/>
      <c r="B23" s="1">
        <v>64</v>
      </c>
      <c r="C23" s="1" t="s">
        <v>698</v>
      </c>
      <c r="D23" s="1" t="s">
        <v>698</v>
      </c>
      <c r="E23" s="1" t="s">
        <v>698</v>
      </c>
      <c r="F23" s="1" t="s">
        <v>698</v>
      </c>
      <c r="G23" s="1" t="s">
        <v>698</v>
      </c>
      <c r="H23" s="1" t="s">
        <v>698</v>
      </c>
      <c r="I23" s="1" t="s">
        <v>698</v>
      </c>
      <c r="J23" s="1">
        <f t="shared" ref="J23" si="2">SUBTOTAL(103,B23)</f>
        <v>1</v>
      </c>
      <c r="L23" s="1" t="s">
        <v>723</v>
      </c>
      <c r="M23" s="7">
        <v>21</v>
      </c>
      <c r="N23" s="5" t="s">
        <v>390</v>
      </c>
      <c r="O23" s="3" t="s">
        <v>391</v>
      </c>
      <c r="P23" s="3" t="s">
        <v>14</v>
      </c>
      <c r="Q23" s="3">
        <v>2</v>
      </c>
      <c r="R23" s="43">
        <f>VLOOKUP('64'!O23,Malzemeler!C:D,2,0)</f>
        <v>778.9</v>
      </c>
      <c r="S23" s="43">
        <f t="shared" si="1"/>
        <v>1557.8</v>
      </c>
    </row>
    <row r="24" spans="1:19" x14ac:dyDescent="0.35">
      <c r="A24" s="104"/>
      <c r="B24" s="1">
        <v>64</v>
      </c>
      <c r="C24" s="1" t="s">
        <v>698</v>
      </c>
      <c r="D24" s="1" t="s">
        <v>698</v>
      </c>
      <c r="E24" s="1" t="s">
        <v>698</v>
      </c>
      <c r="F24" s="1" t="s">
        <v>698</v>
      </c>
      <c r="G24" s="1" t="s">
        <v>698</v>
      </c>
      <c r="H24" s="1" t="s">
        <v>698</v>
      </c>
      <c r="I24" s="1" t="s">
        <v>698</v>
      </c>
      <c r="J24" s="1">
        <f t="shared" ref="J24" si="3">SUBTOTAL(103,B24)</f>
        <v>1</v>
      </c>
      <c r="L24" s="1" t="s">
        <v>723</v>
      </c>
      <c r="M24" s="7">
        <v>22</v>
      </c>
      <c r="N24" s="5" t="s">
        <v>411</v>
      </c>
      <c r="O24" s="3" t="s">
        <v>412</v>
      </c>
      <c r="P24" s="3" t="s">
        <v>14</v>
      </c>
      <c r="Q24" s="3">
        <v>1</v>
      </c>
      <c r="R24" s="43">
        <f>VLOOKUP('64'!O24,Malzemeler!C:D,2,0)</f>
        <v>2682.88</v>
      </c>
      <c r="S24" s="43">
        <f t="shared" si="1"/>
        <v>2682.88</v>
      </c>
    </row>
    <row r="25" spans="1:19" x14ac:dyDescent="0.35">
      <c r="A25" s="104"/>
      <c r="B25" s="1">
        <v>64</v>
      </c>
      <c r="C25" s="1" t="s">
        <v>572</v>
      </c>
      <c r="D25" s="1" t="s">
        <v>698</v>
      </c>
      <c r="E25" s="1" t="s">
        <v>698</v>
      </c>
      <c r="F25" s="1" t="s">
        <v>698</v>
      </c>
      <c r="G25" s="1" t="s">
        <v>698</v>
      </c>
      <c r="H25" s="1" t="s">
        <v>698</v>
      </c>
      <c r="I25" s="1" t="s">
        <v>698</v>
      </c>
      <c r="J25" s="1">
        <f>SUBTOTAL(103,B25)</f>
        <v>1</v>
      </c>
      <c r="L25" s="1" t="s">
        <v>748</v>
      </c>
      <c r="M25" s="7">
        <v>23</v>
      </c>
      <c r="N25" s="1" t="s">
        <v>565</v>
      </c>
      <c r="O25" s="3" t="s">
        <v>192</v>
      </c>
      <c r="P25" s="3" t="s">
        <v>14</v>
      </c>
      <c r="Q25" s="3">
        <v>1</v>
      </c>
      <c r="R25" s="43">
        <f>VLOOKUP('64'!O25,Malzemeler!C:D,2,0)</f>
        <v>410</v>
      </c>
      <c r="S25" s="43">
        <f t="shared" si="1"/>
        <v>410</v>
      </c>
    </row>
    <row r="26" spans="1:19" x14ac:dyDescent="0.35">
      <c r="A26" s="104"/>
      <c r="B26" s="1">
        <v>64</v>
      </c>
      <c r="C26" s="1" t="s">
        <v>572</v>
      </c>
      <c r="D26" s="1" t="s">
        <v>698</v>
      </c>
      <c r="E26" s="1" t="s">
        <v>698</v>
      </c>
      <c r="F26" s="1" t="s">
        <v>698</v>
      </c>
      <c r="G26" s="1" t="s">
        <v>698</v>
      </c>
      <c r="H26" s="1" t="s">
        <v>698</v>
      </c>
      <c r="I26" s="1" t="s">
        <v>698</v>
      </c>
      <c r="J26" s="1">
        <f>SUBTOTAL(103,B26)</f>
        <v>1</v>
      </c>
      <c r="L26" s="1" t="s">
        <v>748</v>
      </c>
      <c r="M26" s="7">
        <v>24</v>
      </c>
      <c r="N26" s="5" t="s">
        <v>413</v>
      </c>
      <c r="O26" s="3" t="s">
        <v>527</v>
      </c>
      <c r="P26" s="3" t="s">
        <v>14</v>
      </c>
      <c r="Q26" s="3">
        <v>1</v>
      </c>
      <c r="R26" s="43">
        <f>VLOOKUP('64'!O26,Malzemeler!C:D,2,0)</f>
        <v>1875</v>
      </c>
      <c r="S26" s="43">
        <f t="shared" si="1"/>
        <v>1875</v>
      </c>
    </row>
    <row r="27" spans="1:19" x14ac:dyDescent="0.35">
      <c r="A27" s="104"/>
      <c r="B27" s="1">
        <v>64</v>
      </c>
      <c r="C27" s="1" t="s">
        <v>572</v>
      </c>
      <c r="D27" s="1" t="s">
        <v>698</v>
      </c>
      <c r="E27" s="1" t="s">
        <v>698</v>
      </c>
      <c r="F27" s="1" t="s">
        <v>698</v>
      </c>
      <c r="G27" s="1" t="s">
        <v>698</v>
      </c>
      <c r="H27" s="1" t="s">
        <v>698</v>
      </c>
      <c r="I27" s="1" t="s">
        <v>698</v>
      </c>
      <c r="J27" s="1">
        <f>SUBTOTAL(103,B27)</f>
        <v>1</v>
      </c>
      <c r="L27" s="1" t="s">
        <v>748</v>
      </c>
      <c r="M27" s="7">
        <v>25</v>
      </c>
      <c r="N27" s="5" t="s">
        <v>414</v>
      </c>
      <c r="O27" s="3" t="s">
        <v>536</v>
      </c>
      <c r="P27" s="3" t="s">
        <v>14</v>
      </c>
      <c r="Q27" s="3">
        <v>1</v>
      </c>
      <c r="R27" s="43">
        <f>VLOOKUP('64'!O27,Malzemeler!C:D,2,0)</f>
        <v>1475</v>
      </c>
      <c r="S27" s="43">
        <f t="shared" si="1"/>
        <v>1475</v>
      </c>
    </row>
    <row r="28" spans="1:19" x14ac:dyDescent="0.35">
      <c r="A28" s="104"/>
      <c r="B28" s="1">
        <v>64</v>
      </c>
      <c r="C28" s="1" t="s">
        <v>573</v>
      </c>
      <c r="D28" s="1" t="s">
        <v>698</v>
      </c>
      <c r="E28" s="1" t="s">
        <v>698</v>
      </c>
      <c r="F28" s="1" t="s">
        <v>698</v>
      </c>
      <c r="G28" s="1" t="s">
        <v>698</v>
      </c>
      <c r="H28" s="1" t="s">
        <v>698</v>
      </c>
      <c r="I28" s="1" t="s">
        <v>698</v>
      </c>
      <c r="J28" s="1">
        <f>SUBTOTAL(103,B28)</f>
        <v>1</v>
      </c>
      <c r="L28" s="1" t="s">
        <v>749</v>
      </c>
      <c r="M28" s="31">
        <v>23</v>
      </c>
      <c r="N28" s="28" t="s">
        <v>565</v>
      </c>
      <c r="O28" s="29" t="str">
        <f>VLOOKUP(N28,Malzemeler!B:C,2,)</f>
        <v>-</v>
      </c>
      <c r="P28" s="29" t="s">
        <v>14</v>
      </c>
      <c r="Q28" s="29">
        <v>1</v>
      </c>
      <c r="R28" s="43">
        <f>VLOOKUP('64'!O28,Malzemeler!C:D,2,0)</f>
        <v>410</v>
      </c>
      <c r="S28" s="43">
        <f t="shared" si="1"/>
        <v>410</v>
      </c>
    </row>
    <row r="29" spans="1:19" x14ac:dyDescent="0.35">
      <c r="A29" s="104"/>
      <c r="B29" s="1">
        <v>64</v>
      </c>
      <c r="C29" s="1" t="s">
        <v>573</v>
      </c>
      <c r="D29" s="1" t="s">
        <v>698</v>
      </c>
      <c r="E29" s="1" t="s">
        <v>698</v>
      </c>
      <c r="F29" s="1" t="s">
        <v>698</v>
      </c>
      <c r="G29" s="1" t="s">
        <v>698</v>
      </c>
      <c r="H29" s="1" t="s">
        <v>698</v>
      </c>
      <c r="I29" s="1" t="s">
        <v>698</v>
      </c>
      <c r="J29" s="1">
        <v>1</v>
      </c>
      <c r="L29" s="1" t="s">
        <v>749</v>
      </c>
      <c r="M29" s="31">
        <v>24</v>
      </c>
      <c r="N29" s="66" t="s">
        <v>413</v>
      </c>
      <c r="O29" s="29" t="str">
        <f>VLOOKUP(N29,Malzemeler!B:C,2,)</f>
        <v>R062522383238</v>
      </c>
      <c r="P29" s="29" t="s">
        <v>14</v>
      </c>
      <c r="Q29" s="29">
        <v>1</v>
      </c>
      <c r="R29" s="43">
        <f>VLOOKUP('64'!O29,Malzemeler!C:D,2,0)</f>
        <v>1875</v>
      </c>
      <c r="S29" s="43">
        <f t="shared" si="1"/>
        <v>1875</v>
      </c>
    </row>
    <row r="30" spans="1:19" x14ac:dyDescent="0.35">
      <c r="A30" s="104"/>
      <c r="B30" s="1">
        <v>64</v>
      </c>
      <c r="C30" s="1" t="s">
        <v>573</v>
      </c>
      <c r="D30" s="1" t="s">
        <v>698</v>
      </c>
      <c r="E30" s="1" t="s">
        <v>698</v>
      </c>
      <c r="F30" s="1" t="s">
        <v>698</v>
      </c>
      <c r="G30" s="1" t="s">
        <v>698</v>
      </c>
      <c r="H30" s="1" t="s">
        <v>698</v>
      </c>
      <c r="I30" s="1" t="s">
        <v>698</v>
      </c>
      <c r="J30" s="1">
        <v>1</v>
      </c>
      <c r="L30" s="1" t="s">
        <v>749</v>
      </c>
      <c r="M30" s="31">
        <v>25</v>
      </c>
      <c r="N30" s="66" t="s">
        <v>414</v>
      </c>
      <c r="O30" s="29" t="str">
        <f>VLOOKUP(N30,Malzemeler!B:C,2,)</f>
        <v>R063228122489</v>
      </c>
      <c r="P30" s="29" t="s">
        <v>14</v>
      </c>
      <c r="Q30" s="29">
        <v>1</v>
      </c>
      <c r="R30" s="43">
        <f>VLOOKUP('64'!O30,Malzemeler!C:D,2,0)</f>
        <v>1475</v>
      </c>
      <c r="S30" s="43">
        <f t="shared" si="1"/>
        <v>1475</v>
      </c>
    </row>
    <row r="31" spans="1:19" x14ac:dyDescent="0.35">
      <c r="A31" s="104"/>
      <c r="B31" s="1">
        <v>64</v>
      </c>
      <c r="C31" s="1" t="s">
        <v>698</v>
      </c>
      <c r="D31" s="1" t="s">
        <v>698</v>
      </c>
      <c r="E31" s="1" t="s">
        <v>698</v>
      </c>
      <c r="F31" s="1" t="s">
        <v>698</v>
      </c>
      <c r="G31" s="1" t="s">
        <v>698</v>
      </c>
      <c r="H31" s="1" t="s">
        <v>698</v>
      </c>
      <c r="I31" s="1" t="s">
        <v>698</v>
      </c>
      <c r="J31" s="1">
        <f t="shared" ref="J31:J61" si="4">SUBTOTAL(103,B31)</f>
        <v>1</v>
      </c>
      <c r="L31" s="1" t="s">
        <v>723</v>
      </c>
      <c r="M31" s="7">
        <v>26</v>
      </c>
      <c r="N31" s="5" t="s">
        <v>633</v>
      </c>
      <c r="O31" s="3" t="s">
        <v>633</v>
      </c>
      <c r="P31" s="3" t="s">
        <v>14</v>
      </c>
      <c r="Q31" s="3">
        <v>8</v>
      </c>
      <c r="R31" s="43">
        <f>VLOOKUP('64'!O31,Malzemeler!C:D,2,0)</f>
        <v>0</v>
      </c>
      <c r="S31" s="43">
        <f t="shared" si="1"/>
        <v>0</v>
      </c>
    </row>
    <row r="32" spans="1:19" x14ac:dyDescent="0.35">
      <c r="A32" s="104"/>
      <c r="B32" s="1">
        <v>64</v>
      </c>
      <c r="C32" s="1" t="s">
        <v>698</v>
      </c>
      <c r="D32" s="1" t="s">
        <v>698</v>
      </c>
      <c r="E32" s="1" t="s">
        <v>698</v>
      </c>
      <c r="F32" s="1" t="s">
        <v>698</v>
      </c>
      <c r="G32" s="1" t="s">
        <v>698</v>
      </c>
      <c r="H32" s="1" t="s">
        <v>698</v>
      </c>
      <c r="I32" s="1" t="s">
        <v>698</v>
      </c>
      <c r="J32" s="1">
        <f t="shared" si="4"/>
        <v>1</v>
      </c>
      <c r="L32" s="1" t="s">
        <v>723</v>
      </c>
      <c r="M32" s="7">
        <v>27</v>
      </c>
      <c r="N32" s="5" t="s">
        <v>634</v>
      </c>
      <c r="O32" s="3" t="s">
        <v>634</v>
      </c>
      <c r="P32" s="3" t="s">
        <v>14</v>
      </c>
      <c r="Q32" s="3">
        <v>20</v>
      </c>
      <c r="R32" s="43">
        <f>VLOOKUP('64'!O32,Malzemeler!C:D,2,0)</f>
        <v>0</v>
      </c>
      <c r="S32" s="43">
        <f t="shared" si="1"/>
        <v>0</v>
      </c>
    </row>
    <row r="33" spans="1:19" x14ac:dyDescent="0.35">
      <c r="A33" s="104"/>
      <c r="B33" s="1">
        <v>64</v>
      </c>
      <c r="C33" s="1" t="s">
        <v>698</v>
      </c>
      <c r="D33" s="1" t="s">
        <v>698</v>
      </c>
      <c r="E33" s="1" t="s">
        <v>698</v>
      </c>
      <c r="F33" s="1" t="s">
        <v>698</v>
      </c>
      <c r="G33" s="1" t="s">
        <v>698</v>
      </c>
      <c r="H33" s="1" t="s">
        <v>698</v>
      </c>
      <c r="I33" s="1" t="s">
        <v>698</v>
      </c>
      <c r="J33" s="1">
        <f t="shared" si="4"/>
        <v>1</v>
      </c>
      <c r="L33" s="1" t="s">
        <v>723</v>
      </c>
      <c r="M33" s="7">
        <v>28</v>
      </c>
      <c r="N33" s="5" t="s">
        <v>635</v>
      </c>
      <c r="O33" s="3" t="s">
        <v>635</v>
      </c>
      <c r="P33" s="3" t="s">
        <v>14</v>
      </c>
      <c r="Q33" s="3">
        <v>19</v>
      </c>
      <c r="R33" s="43">
        <f>VLOOKUP('64'!O33,Malzemeler!C:D,2,0)</f>
        <v>0</v>
      </c>
      <c r="S33" s="43">
        <f t="shared" si="1"/>
        <v>0</v>
      </c>
    </row>
    <row r="34" spans="1:19" x14ac:dyDescent="0.35">
      <c r="A34" s="104"/>
      <c r="B34" s="1">
        <v>64</v>
      </c>
      <c r="C34" s="1" t="s">
        <v>698</v>
      </c>
      <c r="D34" s="1" t="s">
        <v>698</v>
      </c>
      <c r="E34" s="1" t="s">
        <v>698</v>
      </c>
      <c r="F34" s="1" t="s">
        <v>698</v>
      </c>
      <c r="G34" s="1" t="s">
        <v>698</v>
      </c>
      <c r="H34" s="1" t="s">
        <v>698</v>
      </c>
      <c r="I34" s="1" t="s">
        <v>698</v>
      </c>
      <c r="J34" s="1">
        <f t="shared" si="4"/>
        <v>1</v>
      </c>
      <c r="L34" s="1" t="s">
        <v>723</v>
      </c>
      <c r="M34" s="7">
        <v>29</v>
      </c>
      <c r="N34" s="5" t="s">
        <v>636</v>
      </c>
      <c r="O34" s="3" t="s">
        <v>636</v>
      </c>
      <c r="P34" s="3" t="s">
        <v>14</v>
      </c>
      <c r="Q34" s="3">
        <v>8</v>
      </c>
      <c r="R34" s="43">
        <f>VLOOKUP('64'!O34,Malzemeler!C:D,2,0)</f>
        <v>0</v>
      </c>
      <c r="S34" s="43">
        <f t="shared" si="1"/>
        <v>0</v>
      </c>
    </row>
    <row r="35" spans="1:19" x14ac:dyDescent="0.35">
      <c r="A35" s="104"/>
      <c r="B35" s="1">
        <v>64</v>
      </c>
      <c r="C35" s="1" t="s">
        <v>698</v>
      </c>
      <c r="D35" s="1" t="s">
        <v>698</v>
      </c>
      <c r="E35" s="1" t="s">
        <v>698</v>
      </c>
      <c r="F35" s="1" t="s">
        <v>698</v>
      </c>
      <c r="G35" s="1" t="s">
        <v>698</v>
      </c>
      <c r="H35" s="1" t="s">
        <v>698</v>
      </c>
      <c r="I35" s="1" t="s">
        <v>698</v>
      </c>
      <c r="J35" s="1">
        <f t="shared" si="4"/>
        <v>1</v>
      </c>
      <c r="L35" s="1" t="s">
        <v>723</v>
      </c>
      <c r="M35" s="7">
        <v>30</v>
      </c>
      <c r="N35" s="5" t="s">
        <v>221</v>
      </c>
      <c r="O35" s="3" t="s">
        <v>222</v>
      </c>
      <c r="P35" s="3" t="s">
        <v>14</v>
      </c>
      <c r="Q35" s="3">
        <v>1288.5632800000001</v>
      </c>
      <c r="R35" s="43">
        <f>VLOOKUP('64'!O35,Malzemeler!C:D,2,0)</f>
        <v>1.07</v>
      </c>
      <c r="S35" s="43">
        <f t="shared" si="1"/>
        <v>1378.7627096000001</v>
      </c>
    </row>
    <row r="36" spans="1:19" x14ac:dyDescent="0.35">
      <c r="A36" s="104"/>
      <c r="B36" s="1">
        <v>64</v>
      </c>
      <c r="C36" s="1" t="s">
        <v>698</v>
      </c>
      <c r="D36" s="1" t="s">
        <v>698</v>
      </c>
      <c r="E36" s="1" t="s">
        <v>698</v>
      </c>
      <c r="F36" s="1" t="s">
        <v>698</v>
      </c>
      <c r="G36" s="1" t="s">
        <v>698</v>
      </c>
      <c r="H36" s="1" t="s">
        <v>698</v>
      </c>
      <c r="I36" s="1" t="s">
        <v>698</v>
      </c>
      <c r="J36" s="1">
        <f t="shared" si="4"/>
        <v>1</v>
      </c>
      <c r="L36" s="1" t="s">
        <v>723</v>
      </c>
      <c r="M36" s="7">
        <v>31</v>
      </c>
      <c r="N36" s="5" t="s">
        <v>637</v>
      </c>
      <c r="O36" s="3" t="s">
        <v>655</v>
      </c>
      <c r="P36" s="3" t="s">
        <v>14</v>
      </c>
      <c r="Q36" s="3">
        <v>10.084399999999999</v>
      </c>
      <c r="R36" s="43">
        <f>VLOOKUP('64'!O36,Malzemeler!C:D,2,0)</f>
        <v>0</v>
      </c>
      <c r="S36" s="43">
        <f t="shared" si="1"/>
        <v>0</v>
      </c>
    </row>
    <row r="37" spans="1:19" x14ac:dyDescent="0.35">
      <c r="A37" s="104"/>
      <c r="B37" s="1">
        <v>64</v>
      </c>
      <c r="C37" s="1" t="s">
        <v>698</v>
      </c>
      <c r="D37" s="1" t="s">
        <v>698</v>
      </c>
      <c r="E37" s="1" t="s">
        <v>698</v>
      </c>
      <c r="F37" s="1" t="s">
        <v>698</v>
      </c>
      <c r="G37" s="1" t="s">
        <v>698</v>
      </c>
      <c r="H37" s="1" t="s">
        <v>698</v>
      </c>
      <c r="I37" s="1" t="s">
        <v>698</v>
      </c>
      <c r="J37" s="1">
        <f t="shared" si="4"/>
        <v>1</v>
      </c>
      <c r="L37" s="1" t="s">
        <v>723</v>
      </c>
      <c r="M37" s="7">
        <v>32</v>
      </c>
      <c r="N37" s="5" t="s">
        <v>223</v>
      </c>
      <c r="O37" s="3" t="s">
        <v>224</v>
      </c>
      <c r="P37" s="3" t="s">
        <v>14</v>
      </c>
      <c r="Q37" s="3">
        <v>11.7096</v>
      </c>
      <c r="R37" s="43">
        <f>VLOOKUP('64'!O37,Malzemeler!C:D,2,0)</f>
        <v>1.23</v>
      </c>
      <c r="S37" s="43">
        <f t="shared" si="1"/>
        <v>14.402808</v>
      </c>
    </row>
    <row r="38" spans="1:19" x14ac:dyDescent="0.35">
      <c r="A38" s="104"/>
      <c r="B38" s="1">
        <v>64</v>
      </c>
      <c r="C38" s="1" t="s">
        <v>698</v>
      </c>
      <c r="D38" s="1" t="s">
        <v>698</v>
      </c>
      <c r="E38" s="1" t="s">
        <v>698</v>
      </c>
      <c r="F38" s="1" t="s">
        <v>698</v>
      </c>
      <c r="G38" s="1" t="s">
        <v>698</v>
      </c>
      <c r="H38" s="1" t="s">
        <v>698</v>
      </c>
      <c r="I38" s="1" t="s">
        <v>698</v>
      </c>
      <c r="J38" s="1">
        <f t="shared" si="4"/>
        <v>1</v>
      </c>
      <c r="L38" s="1" t="s">
        <v>723</v>
      </c>
      <c r="M38" s="7">
        <v>33</v>
      </c>
      <c r="N38" s="5" t="s">
        <v>227</v>
      </c>
      <c r="O38" s="3" t="s">
        <v>97</v>
      </c>
      <c r="P38" s="3" t="s">
        <v>14</v>
      </c>
      <c r="Q38" s="3">
        <v>161.28432467199997</v>
      </c>
      <c r="R38" s="43">
        <f>VLOOKUP('64'!O38,Malzemeler!C:D,2,0)</f>
        <v>0.8</v>
      </c>
      <c r="S38" s="43">
        <f t="shared" si="1"/>
        <v>129.02745973759997</v>
      </c>
    </row>
    <row r="39" spans="1:19" x14ac:dyDescent="0.35">
      <c r="A39" s="104"/>
      <c r="B39" s="1">
        <v>64</v>
      </c>
      <c r="C39" s="1" t="s">
        <v>698</v>
      </c>
      <c r="D39" s="1" t="s">
        <v>698</v>
      </c>
      <c r="E39" s="1" t="s">
        <v>698</v>
      </c>
      <c r="F39" s="1" t="s">
        <v>698</v>
      </c>
      <c r="G39" s="1" t="s">
        <v>698</v>
      </c>
      <c r="H39" s="1" t="s">
        <v>698</v>
      </c>
      <c r="I39" s="1" t="s">
        <v>698</v>
      </c>
      <c r="J39" s="1">
        <f t="shared" si="4"/>
        <v>1</v>
      </c>
      <c r="L39" s="1" t="s">
        <v>723</v>
      </c>
      <c r="M39" s="7">
        <v>34</v>
      </c>
      <c r="N39" s="5" t="s">
        <v>228</v>
      </c>
      <c r="O39" s="3" t="s">
        <v>229</v>
      </c>
      <c r="P39" s="3" t="s">
        <v>14</v>
      </c>
      <c r="Q39" s="3">
        <v>349.02359999999999</v>
      </c>
      <c r="R39" s="43">
        <f>VLOOKUP('64'!O39,Malzemeler!C:D,2,0)</f>
        <v>0.79</v>
      </c>
      <c r="S39" s="43">
        <f t="shared" si="1"/>
        <v>275.72864399999997</v>
      </c>
    </row>
    <row r="40" spans="1:19" x14ac:dyDescent="0.35">
      <c r="A40" s="104"/>
      <c r="B40" s="1">
        <v>64</v>
      </c>
      <c r="C40" s="1" t="s">
        <v>698</v>
      </c>
      <c r="D40" s="1" t="s">
        <v>698</v>
      </c>
      <c r="E40" s="1" t="s">
        <v>698</v>
      </c>
      <c r="F40" s="1" t="s">
        <v>698</v>
      </c>
      <c r="G40" s="1" t="s">
        <v>698</v>
      </c>
      <c r="H40" s="1" t="s">
        <v>698</v>
      </c>
      <c r="I40" s="1" t="s">
        <v>698</v>
      </c>
      <c r="J40" s="1">
        <f t="shared" si="4"/>
        <v>1</v>
      </c>
      <c r="L40" s="1" t="s">
        <v>723</v>
      </c>
      <c r="M40" s="7">
        <v>35</v>
      </c>
      <c r="N40" s="5" t="s">
        <v>438</v>
      </c>
      <c r="O40" s="3" t="s">
        <v>231</v>
      </c>
      <c r="P40" s="3" t="s">
        <v>14</v>
      </c>
      <c r="Q40" s="3">
        <v>63.299042604799993</v>
      </c>
      <c r="R40" s="43">
        <f>VLOOKUP('64'!O40,Malzemeler!C:D,2,0)</f>
        <v>0.85</v>
      </c>
      <c r="S40" s="43">
        <f t="shared" si="1"/>
        <v>53.804186214079991</v>
      </c>
    </row>
    <row r="41" spans="1:19" x14ac:dyDescent="0.35">
      <c r="A41" s="104"/>
      <c r="B41" s="1">
        <v>64</v>
      </c>
      <c r="C41" s="1" t="s">
        <v>698</v>
      </c>
      <c r="D41" s="1" t="s">
        <v>698</v>
      </c>
      <c r="E41" s="1" t="s">
        <v>698</v>
      </c>
      <c r="F41" s="1" t="s">
        <v>698</v>
      </c>
      <c r="G41" s="1" t="s">
        <v>698</v>
      </c>
      <c r="H41" s="1" t="s">
        <v>698</v>
      </c>
      <c r="I41" s="1" t="s">
        <v>698</v>
      </c>
      <c r="J41" s="1">
        <f t="shared" si="4"/>
        <v>1</v>
      </c>
      <c r="L41" s="1" t="s">
        <v>723</v>
      </c>
      <c r="M41" s="7">
        <v>36</v>
      </c>
      <c r="N41" s="5" t="s">
        <v>234</v>
      </c>
      <c r="O41" s="3" t="s">
        <v>235</v>
      </c>
      <c r="P41" s="3" t="s">
        <v>14</v>
      </c>
      <c r="Q41" s="3">
        <v>36.68085</v>
      </c>
      <c r="R41" s="43">
        <f>VLOOKUP('64'!O41,Malzemeler!C:D,2,0)</f>
        <v>2.3199999999999998</v>
      </c>
      <c r="S41" s="43">
        <f t="shared" si="1"/>
        <v>85.099571999999995</v>
      </c>
    </row>
    <row r="42" spans="1:19" x14ac:dyDescent="0.35">
      <c r="A42" s="104"/>
      <c r="B42" s="1">
        <v>64</v>
      </c>
      <c r="C42" s="1" t="s">
        <v>698</v>
      </c>
      <c r="D42" s="1" t="s">
        <v>698</v>
      </c>
      <c r="E42" s="1" t="s">
        <v>698</v>
      </c>
      <c r="F42" s="1" t="s">
        <v>698</v>
      </c>
      <c r="G42" s="1" t="s">
        <v>698</v>
      </c>
      <c r="H42" s="1" t="s">
        <v>698</v>
      </c>
      <c r="I42" s="1" t="s">
        <v>698</v>
      </c>
      <c r="J42" s="1">
        <f t="shared" si="4"/>
        <v>1</v>
      </c>
      <c r="L42" s="1" t="s">
        <v>723</v>
      </c>
      <c r="M42" s="7">
        <v>37</v>
      </c>
      <c r="N42" s="5" t="s">
        <v>638</v>
      </c>
      <c r="O42" s="3" t="s">
        <v>656</v>
      </c>
      <c r="P42" s="3" t="s">
        <v>14</v>
      </c>
      <c r="Q42" s="3">
        <v>7.0686</v>
      </c>
      <c r="R42" s="43">
        <f>VLOOKUP('64'!O42,Malzemeler!C:D,2,0)</f>
        <v>0</v>
      </c>
      <c r="S42" s="43">
        <f t="shared" si="1"/>
        <v>0</v>
      </c>
    </row>
    <row r="43" spans="1:19" x14ac:dyDescent="0.35">
      <c r="A43" s="104"/>
      <c r="B43" s="1">
        <v>64</v>
      </c>
      <c r="C43" s="1" t="s">
        <v>698</v>
      </c>
      <c r="D43" s="1" t="s">
        <v>698</v>
      </c>
      <c r="E43" s="1" t="s">
        <v>698</v>
      </c>
      <c r="F43" s="1" t="s">
        <v>698</v>
      </c>
      <c r="G43" s="1" t="s">
        <v>698</v>
      </c>
      <c r="H43" s="1" t="s">
        <v>698</v>
      </c>
      <c r="I43" s="1" t="s">
        <v>698</v>
      </c>
      <c r="J43" s="1">
        <f t="shared" si="4"/>
        <v>1</v>
      </c>
      <c r="L43" s="1" t="s">
        <v>723</v>
      </c>
      <c r="M43" s="7">
        <v>38</v>
      </c>
      <c r="N43" s="5" t="s">
        <v>90</v>
      </c>
      <c r="O43" s="3" t="s">
        <v>91</v>
      </c>
      <c r="P43" s="3" t="s">
        <v>14</v>
      </c>
      <c r="Q43" s="3">
        <v>37.201999999999998</v>
      </c>
      <c r="R43" s="43">
        <f>VLOOKUP('64'!O43,Malzemeler!C:D,2,0)</f>
        <v>1.27</v>
      </c>
      <c r="S43" s="43">
        <f t="shared" si="1"/>
        <v>47.246539999999996</v>
      </c>
    </row>
    <row r="44" spans="1:19" x14ac:dyDescent="0.35">
      <c r="A44" s="104"/>
      <c r="B44" s="1">
        <v>64</v>
      </c>
      <c r="C44" s="1" t="s">
        <v>698</v>
      </c>
      <c r="D44" s="1" t="s">
        <v>698</v>
      </c>
      <c r="E44" s="1" t="s">
        <v>698</v>
      </c>
      <c r="F44" s="1" t="s">
        <v>698</v>
      </c>
      <c r="G44" s="1" t="s">
        <v>698</v>
      </c>
      <c r="H44" s="1" t="s">
        <v>698</v>
      </c>
      <c r="I44" s="1" t="s">
        <v>698</v>
      </c>
      <c r="J44" s="1">
        <f t="shared" si="4"/>
        <v>1</v>
      </c>
      <c r="L44" s="1" t="s">
        <v>723</v>
      </c>
      <c r="M44" s="7">
        <v>39</v>
      </c>
      <c r="N44" s="5" t="s">
        <v>92</v>
      </c>
      <c r="O44" s="3" t="s">
        <v>93</v>
      </c>
      <c r="P44" s="3" t="s">
        <v>14</v>
      </c>
      <c r="Q44" s="3">
        <v>14.737800000000002</v>
      </c>
      <c r="R44" s="43">
        <f>VLOOKUP('64'!O44,Malzemeler!C:D,2,0)</f>
        <v>1.74</v>
      </c>
      <c r="S44" s="43">
        <f t="shared" si="1"/>
        <v>25.643772000000002</v>
      </c>
    </row>
    <row r="45" spans="1:19" x14ac:dyDescent="0.35">
      <c r="A45" s="104"/>
      <c r="B45" s="1">
        <v>64</v>
      </c>
      <c r="C45" s="1" t="s">
        <v>698</v>
      </c>
      <c r="D45" s="1" t="s">
        <v>698</v>
      </c>
      <c r="E45" s="1" t="s">
        <v>698</v>
      </c>
      <c r="F45" s="1" t="s">
        <v>698</v>
      </c>
      <c r="G45" s="1" t="s">
        <v>698</v>
      </c>
      <c r="H45" s="1" t="s">
        <v>698</v>
      </c>
      <c r="I45" s="1" t="s">
        <v>698</v>
      </c>
      <c r="J45" s="1">
        <f t="shared" si="4"/>
        <v>1</v>
      </c>
      <c r="L45" s="1" t="s">
        <v>723</v>
      </c>
      <c r="M45" s="7">
        <v>40</v>
      </c>
      <c r="N45" s="5" t="s">
        <v>238</v>
      </c>
      <c r="O45" s="3" t="s">
        <v>239</v>
      </c>
      <c r="P45" s="3" t="s">
        <v>14</v>
      </c>
      <c r="Q45" s="3">
        <v>55.935000000000002</v>
      </c>
      <c r="R45" s="43">
        <f>VLOOKUP('64'!O45,Malzemeler!C:D,2,0)</f>
        <v>1.95</v>
      </c>
      <c r="S45" s="43">
        <f t="shared" si="1"/>
        <v>109.07325</v>
      </c>
    </row>
    <row r="46" spans="1:19" x14ac:dyDescent="0.35">
      <c r="A46" s="104"/>
      <c r="B46" s="1">
        <v>64</v>
      </c>
      <c r="C46" s="1" t="s">
        <v>698</v>
      </c>
      <c r="D46" s="1" t="s">
        <v>698</v>
      </c>
      <c r="E46" s="1" t="s">
        <v>698</v>
      </c>
      <c r="F46" s="1" t="s">
        <v>698</v>
      </c>
      <c r="G46" s="1" t="s">
        <v>698</v>
      </c>
      <c r="H46" s="1" t="s">
        <v>698</v>
      </c>
      <c r="I46" s="1" t="s">
        <v>698</v>
      </c>
      <c r="J46" s="1">
        <f t="shared" si="4"/>
        <v>1</v>
      </c>
      <c r="L46" s="1" t="s">
        <v>723</v>
      </c>
      <c r="M46" s="7">
        <v>41</v>
      </c>
      <c r="N46" s="5" t="s">
        <v>240</v>
      </c>
      <c r="O46" s="3" t="s">
        <v>241</v>
      </c>
      <c r="P46" s="3" t="s">
        <v>14</v>
      </c>
      <c r="Q46" s="3">
        <v>67.910700000000006</v>
      </c>
      <c r="R46" s="43">
        <f>VLOOKUP('64'!O46,Malzemeler!C:D,2,0)</f>
        <v>4.4000000000000004</v>
      </c>
      <c r="S46" s="43">
        <f t="shared" si="1"/>
        <v>298.80708000000004</v>
      </c>
    </row>
    <row r="47" spans="1:19" x14ac:dyDescent="0.35">
      <c r="A47" s="104"/>
      <c r="B47" s="1">
        <v>64</v>
      </c>
      <c r="C47" s="1" t="s">
        <v>698</v>
      </c>
      <c r="D47" s="1" t="s">
        <v>698</v>
      </c>
      <c r="E47" s="1" t="s">
        <v>698</v>
      </c>
      <c r="F47" s="1" t="s">
        <v>698</v>
      </c>
      <c r="G47" s="1" t="s">
        <v>698</v>
      </c>
      <c r="H47" s="1" t="s">
        <v>698</v>
      </c>
      <c r="I47" s="1" t="s">
        <v>698</v>
      </c>
      <c r="J47" s="1">
        <f t="shared" si="4"/>
        <v>1</v>
      </c>
      <c r="L47" s="1" t="s">
        <v>723</v>
      </c>
      <c r="M47" s="7">
        <v>42</v>
      </c>
      <c r="N47" s="5" t="s">
        <v>370</v>
      </c>
      <c r="O47" s="3" t="s">
        <v>371</v>
      </c>
      <c r="P47" s="3" t="s">
        <v>14</v>
      </c>
      <c r="Q47" s="3">
        <v>7.6120000000000001</v>
      </c>
      <c r="R47" s="43">
        <f>VLOOKUP('64'!O47,Malzemeler!C:D,2,0)</f>
        <v>4.4000000000000004</v>
      </c>
      <c r="S47" s="43">
        <f t="shared" si="1"/>
        <v>33.492800000000003</v>
      </c>
    </row>
    <row r="48" spans="1:19" x14ac:dyDescent="0.35">
      <c r="A48" s="104"/>
      <c r="B48" s="1">
        <v>64</v>
      </c>
      <c r="C48" s="1" t="s">
        <v>698</v>
      </c>
      <c r="D48" s="1" t="s">
        <v>698</v>
      </c>
      <c r="E48" s="1" t="s">
        <v>698</v>
      </c>
      <c r="F48" s="1" t="s">
        <v>698</v>
      </c>
      <c r="G48" s="1" t="s">
        <v>698</v>
      </c>
      <c r="H48" s="1" t="s">
        <v>698</v>
      </c>
      <c r="I48" s="1" t="s">
        <v>698</v>
      </c>
      <c r="J48" s="1">
        <f t="shared" si="4"/>
        <v>1</v>
      </c>
      <c r="L48" s="1" t="s">
        <v>723</v>
      </c>
      <c r="M48" s="7">
        <v>43</v>
      </c>
      <c r="N48" s="5" t="s">
        <v>242</v>
      </c>
      <c r="O48" s="3" t="s">
        <v>243</v>
      </c>
      <c r="P48" s="3" t="s">
        <v>14</v>
      </c>
      <c r="Q48" s="3">
        <v>13.6455</v>
      </c>
      <c r="R48" s="43">
        <f>VLOOKUP('64'!O48,Malzemeler!C:D,2,0)</f>
        <v>4.4000000000000004</v>
      </c>
      <c r="S48" s="43">
        <f t="shared" si="1"/>
        <v>60.040200000000006</v>
      </c>
    </row>
    <row r="49" spans="1:19" x14ac:dyDescent="0.35">
      <c r="A49" s="104"/>
      <c r="B49" s="1">
        <v>64</v>
      </c>
      <c r="C49" s="1" t="s">
        <v>698</v>
      </c>
      <c r="D49" s="1" t="s">
        <v>698</v>
      </c>
      <c r="E49" s="1" t="s">
        <v>698</v>
      </c>
      <c r="F49" s="1" t="s">
        <v>698</v>
      </c>
      <c r="G49" s="1" t="s">
        <v>698</v>
      </c>
      <c r="H49" s="1" t="s">
        <v>698</v>
      </c>
      <c r="I49" s="1" t="s">
        <v>698</v>
      </c>
      <c r="J49" s="1">
        <f t="shared" si="4"/>
        <v>1</v>
      </c>
      <c r="L49" s="1" t="s">
        <v>723</v>
      </c>
      <c r="M49" s="7">
        <v>44</v>
      </c>
      <c r="N49" s="5" t="s">
        <v>244</v>
      </c>
      <c r="O49" s="3" t="s">
        <v>245</v>
      </c>
      <c r="P49" s="3" t="s">
        <v>14</v>
      </c>
      <c r="Q49" s="3">
        <v>16.469200000000001</v>
      </c>
      <c r="R49" s="43">
        <f>VLOOKUP('64'!O49,Malzemeler!C:D,2,0)</f>
        <v>4.4000000000000004</v>
      </c>
      <c r="S49" s="43">
        <f t="shared" si="1"/>
        <v>72.464480000000009</v>
      </c>
    </row>
    <row r="50" spans="1:19" x14ac:dyDescent="0.35">
      <c r="A50" s="104"/>
      <c r="B50" s="1">
        <v>64</v>
      </c>
      <c r="C50" s="1" t="s">
        <v>698</v>
      </c>
      <c r="D50" s="1" t="s">
        <v>698</v>
      </c>
      <c r="E50" s="1" t="s">
        <v>698</v>
      </c>
      <c r="F50" s="1" t="s">
        <v>698</v>
      </c>
      <c r="G50" s="1" t="s">
        <v>698</v>
      </c>
      <c r="H50" s="1" t="s">
        <v>698</v>
      </c>
      <c r="I50" s="1" t="s">
        <v>698</v>
      </c>
      <c r="J50" s="1">
        <f t="shared" si="4"/>
        <v>1</v>
      </c>
      <c r="L50" s="1" t="s">
        <v>723</v>
      </c>
      <c r="M50" s="7">
        <v>45</v>
      </c>
      <c r="N50" s="5" t="s">
        <v>246</v>
      </c>
      <c r="O50" s="3" t="s">
        <v>247</v>
      </c>
      <c r="P50" s="3" t="s">
        <v>14</v>
      </c>
      <c r="Q50" s="3">
        <v>14.794999999999998</v>
      </c>
      <c r="R50" s="43">
        <f>VLOOKUP('64'!O50,Malzemeler!C:D,2,0)</f>
        <v>4.4000000000000004</v>
      </c>
      <c r="S50" s="43">
        <f t="shared" si="1"/>
        <v>65.097999999999999</v>
      </c>
    </row>
    <row r="51" spans="1:19" x14ac:dyDescent="0.35">
      <c r="A51" s="104"/>
      <c r="B51" s="1">
        <v>64</v>
      </c>
      <c r="C51" s="1" t="s">
        <v>698</v>
      </c>
      <c r="D51" s="1" t="s">
        <v>698</v>
      </c>
      <c r="E51" s="1" t="s">
        <v>698</v>
      </c>
      <c r="F51" s="1" t="s">
        <v>698</v>
      </c>
      <c r="G51" s="1" t="s">
        <v>698</v>
      </c>
      <c r="H51" s="1" t="s">
        <v>698</v>
      </c>
      <c r="I51" s="1" t="s">
        <v>698</v>
      </c>
      <c r="J51" s="1">
        <f t="shared" si="4"/>
        <v>1</v>
      </c>
      <c r="L51" s="1" t="s">
        <v>723</v>
      </c>
      <c r="M51" s="7">
        <v>46</v>
      </c>
      <c r="N51" s="5" t="s">
        <v>248</v>
      </c>
      <c r="O51" s="3" t="s">
        <v>249</v>
      </c>
      <c r="P51" s="3" t="s">
        <v>14</v>
      </c>
      <c r="Q51" s="3">
        <v>37.408799999999999</v>
      </c>
      <c r="R51" s="43">
        <f>VLOOKUP('64'!O51,Malzemeler!C:D,2,0)</f>
        <v>2.36</v>
      </c>
      <c r="S51" s="43">
        <f t="shared" si="1"/>
        <v>88.284768</v>
      </c>
    </row>
    <row r="52" spans="1:19" x14ac:dyDescent="0.35">
      <c r="A52" s="104"/>
      <c r="B52" s="1">
        <v>64</v>
      </c>
      <c r="C52" s="1" t="s">
        <v>698</v>
      </c>
      <c r="D52" s="1" t="s">
        <v>698</v>
      </c>
      <c r="E52" s="1" t="s">
        <v>698</v>
      </c>
      <c r="F52" s="1" t="s">
        <v>698</v>
      </c>
      <c r="G52" s="1" t="s">
        <v>698</v>
      </c>
      <c r="H52" s="1" t="s">
        <v>698</v>
      </c>
      <c r="I52" s="1" t="s">
        <v>698</v>
      </c>
      <c r="J52" s="1">
        <f t="shared" si="4"/>
        <v>1</v>
      </c>
      <c r="L52" s="1" t="s">
        <v>723</v>
      </c>
      <c r="M52" s="7">
        <v>47</v>
      </c>
      <c r="N52" s="5" t="s">
        <v>250</v>
      </c>
      <c r="O52" s="3" t="s">
        <v>251</v>
      </c>
      <c r="P52" s="3" t="s">
        <v>14</v>
      </c>
      <c r="Q52" s="3">
        <v>5.899</v>
      </c>
      <c r="R52" s="43">
        <f>VLOOKUP('64'!O52,Malzemeler!C:D,2,0)</f>
        <v>1.88</v>
      </c>
      <c r="S52" s="43">
        <f t="shared" si="1"/>
        <v>11.090119999999999</v>
      </c>
    </row>
    <row r="53" spans="1:19" x14ac:dyDescent="0.35">
      <c r="A53" s="104"/>
      <c r="B53" s="1">
        <v>64</v>
      </c>
      <c r="C53" s="1" t="s">
        <v>698</v>
      </c>
      <c r="D53" s="1" t="s">
        <v>698</v>
      </c>
      <c r="E53" s="1" t="s">
        <v>698</v>
      </c>
      <c r="F53" s="1" t="s">
        <v>698</v>
      </c>
      <c r="G53" s="1" t="s">
        <v>698</v>
      </c>
      <c r="H53" s="1" t="s">
        <v>698</v>
      </c>
      <c r="I53" s="1" t="s">
        <v>698</v>
      </c>
      <c r="J53" s="1">
        <f t="shared" si="4"/>
        <v>1</v>
      </c>
      <c r="L53" s="1" t="s">
        <v>723</v>
      </c>
      <c r="M53" s="7">
        <v>48</v>
      </c>
      <c r="N53" s="5" t="s">
        <v>252</v>
      </c>
      <c r="O53" s="3" t="s">
        <v>253</v>
      </c>
      <c r="P53" s="3" t="s">
        <v>14</v>
      </c>
      <c r="Q53" s="3">
        <v>79.303179999999998</v>
      </c>
      <c r="R53" s="43">
        <f>VLOOKUP('64'!O53,Malzemeler!C:D,2,0)</f>
        <v>1.04</v>
      </c>
      <c r="S53" s="43">
        <f t="shared" si="1"/>
        <v>82.475307200000003</v>
      </c>
    </row>
    <row r="54" spans="1:19" x14ac:dyDescent="0.35">
      <c r="A54" s="104"/>
      <c r="B54" s="1">
        <v>64</v>
      </c>
      <c r="C54" s="1" t="s">
        <v>698</v>
      </c>
      <c r="D54" s="1" t="s">
        <v>698</v>
      </c>
      <c r="E54" s="1" t="s">
        <v>698</v>
      </c>
      <c r="F54" s="1" t="s">
        <v>698</v>
      </c>
      <c r="G54" s="1" t="s">
        <v>698</v>
      </c>
      <c r="H54" s="1" t="s">
        <v>698</v>
      </c>
      <c r="I54" s="1" t="s">
        <v>698</v>
      </c>
      <c r="J54" s="1">
        <f t="shared" si="4"/>
        <v>1</v>
      </c>
      <c r="L54" s="1" t="s">
        <v>723</v>
      </c>
      <c r="M54" s="7">
        <v>49</v>
      </c>
      <c r="N54" s="5" t="s">
        <v>254</v>
      </c>
      <c r="O54" s="3" t="s">
        <v>255</v>
      </c>
      <c r="P54" s="3" t="s">
        <v>14</v>
      </c>
      <c r="Q54" s="3">
        <v>4.9763999999999999</v>
      </c>
      <c r="R54" s="43">
        <f>VLOOKUP('64'!O54,Malzemeler!C:D,2,0)</f>
        <v>0.76</v>
      </c>
      <c r="S54" s="43">
        <f t="shared" si="1"/>
        <v>3.7820640000000001</v>
      </c>
    </row>
    <row r="55" spans="1:19" x14ac:dyDescent="0.35">
      <c r="A55" s="104"/>
      <c r="B55" s="1">
        <v>64</v>
      </c>
      <c r="C55" s="1" t="s">
        <v>698</v>
      </c>
      <c r="D55" s="1" t="s">
        <v>698</v>
      </c>
      <c r="E55" s="1" t="s">
        <v>698</v>
      </c>
      <c r="F55" s="1" t="s">
        <v>698</v>
      </c>
      <c r="G55" s="1" t="s">
        <v>698</v>
      </c>
      <c r="H55" s="1" t="s">
        <v>698</v>
      </c>
      <c r="I55" s="1" t="s">
        <v>698</v>
      </c>
      <c r="J55" s="1">
        <f t="shared" si="4"/>
        <v>1</v>
      </c>
      <c r="L55" s="1" t="s">
        <v>723</v>
      </c>
      <c r="M55" s="7">
        <v>50</v>
      </c>
      <c r="N55" s="5" t="s">
        <v>256</v>
      </c>
      <c r="O55" s="3" t="s">
        <v>257</v>
      </c>
      <c r="P55" s="3" t="s">
        <v>14</v>
      </c>
      <c r="Q55" s="3">
        <v>21.5732</v>
      </c>
      <c r="R55" s="43">
        <f>VLOOKUP('64'!O55,Malzemeler!C:D,2,0)</f>
        <v>0.7</v>
      </c>
      <c r="S55" s="43">
        <f t="shared" si="1"/>
        <v>15.101239999999999</v>
      </c>
    </row>
    <row r="56" spans="1:19" x14ac:dyDescent="0.35">
      <c r="A56" s="104"/>
      <c r="B56" s="1">
        <v>64</v>
      </c>
      <c r="C56" s="1" t="s">
        <v>698</v>
      </c>
      <c r="D56" s="1" t="s">
        <v>698</v>
      </c>
      <c r="E56" s="1" t="s">
        <v>698</v>
      </c>
      <c r="F56" s="1" t="s">
        <v>698</v>
      </c>
      <c r="G56" s="1" t="s">
        <v>698</v>
      </c>
      <c r="H56" s="1" t="s">
        <v>698</v>
      </c>
      <c r="I56" s="1" t="s">
        <v>698</v>
      </c>
      <c r="J56" s="1">
        <f t="shared" si="4"/>
        <v>1</v>
      </c>
      <c r="L56" s="1" t="s">
        <v>723</v>
      </c>
      <c r="M56" s="7">
        <v>51</v>
      </c>
      <c r="N56" s="5" t="s">
        <v>110</v>
      </c>
      <c r="O56" s="3" t="s">
        <v>111</v>
      </c>
      <c r="P56" s="3" t="s">
        <v>14</v>
      </c>
      <c r="Q56" s="3">
        <v>231.86239999999998</v>
      </c>
      <c r="R56" s="43">
        <f>VLOOKUP('64'!O56,Malzemeler!C:D,2,0)</f>
        <v>1.1200000000000001</v>
      </c>
      <c r="S56" s="43">
        <f t="shared" si="1"/>
        <v>259.68588799999998</v>
      </c>
    </row>
    <row r="57" spans="1:19" x14ac:dyDescent="0.35">
      <c r="A57" s="104"/>
      <c r="B57" s="1">
        <v>64</v>
      </c>
      <c r="C57" s="1" t="s">
        <v>698</v>
      </c>
      <c r="D57" s="1" t="s">
        <v>698</v>
      </c>
      <c r="E57" s="1" t="s">
        <v>698</v>
      </c>
      <c r="F57" s="1" t="s">
        <v>698</v>
      </c>
      <c r="G57" s="1" t="s">
        <v>698</v>
      </c>
      <c r="H57" s="1" t="s">
        <v>698</v>
      </c>
      <c r="I57" s="1" t="s">
        <v>698</v>
      </c>
      <c r="J57" s="1">
        <f t="shared" si="4"/>
        <v>1</v>
      </c>
      <c r="L57" s="1" t="s">
        <v>723</v>
      </c>
      <c r="M57" s="7">
        <v>52</v>
      </c>
      <c r="N57" s="5" t="s">
        <v>258</v>
      </c>
      <c r="O57" s="3" t="s">
        <v>157</v>
      </c>
      <c r="P57" s="3" t="s">
        <v>14</v>
      </c>
      <c r="Q57" s="3">
        <v>61.576999999999998</v>
      </c>
      <c r="R57" s="43">
        <f>VLOOKUP('64'!O57,Malzemeler!C:D,2,0)</f>
        <v>3</v>
      </c>
      <c r="S57" s="43">
        <f t="shared" si="1"/>
        <v>184.73099999999999</v>
      </c>
    </row>
    <row r="58" spans="1:19" x14ac:dyDescent="0.35">
      <c r="A58" s="104"/>
      <c r="B58" s="1">
        <v>64</v>
      </c>
      <c r="C58" s="1" t="s">
        <v>698</v>
      </c>
      <c r="D58" s="1" t="s">
        <v>698</v>
      </c>
      <c r="E58" s="1" t="s">
        <v>698</v>
      </c>
      <c r="F58" s="1" t="s">
        <v>698</v>
      </c>
      <c r="G58" s="1" t="s">
        <v>698</v>
      </c>
      <c r="H58" s="1" t="s">
        <v>698</v>
      </c>
      <c r="I58" s="1" t="s">
        <v>698</v>
      </c>
      <c r="J58" s="1">
        <f t="shared" si="4"/>
        <v>1</v>
      </c>
      <c r="L58" s="1" t="s">
        <v>723</v>
      </c>
      <c r="M58" s="7">
        <v>53</v>
      </c>
      <c r="N58" s="5" t="s">
        <v>259</v>
      </c>
      <c r="O58" s="3" t="s">
        <v>260</v>
      </c>
      <c r="P58" s="3" t="s">
        <v>14</v>
      </c>
      <c r="Q58" s="3">
        <v>12.54</v>
      </c>
      <c r="R58" s="43">
        <f>VLOOKUP('64'!O58,Malzemeler!C:D,2,0)</f>
        <v>3</v>
      </c>
      <c r="S58" s="43">
        <f t="shared" si="1"/>
        <v>37.619999999999997</v>
      </c>
    </row>
    <row r="59" spans="1:19" x14ac:dyDescent="0.35">
      <c r="A59" s="104"/>
      <c r="B59" s="1">
        <v>64</v>
      </c>
      <c r="C59" s="1" t="s">
        <v>698</v>
      </c>
      <c r="D59" s="1" t="s">
        <v>698</v>
      </c>
      <c r="E59" s="1" t="s">
        <v>698</v>
      </c>
      <c r="F59" s="1" t="s">
        <v>698</v>
      </c>
      <c r="G59" s="1" t="s">
        <v>698</v>
      </c>
      <c r="H59" s="1" t="s">
        <v>698</v>
      </c>
      <c r="I59" s="1" t="s">
        <v>698</v>
      </c>
      <c r="J59" s="1">
        <f t="shared" si="4"/>
        <v>1</v>
      </c>
      <c r="L59" s="1" t="s">
        <v>723</v>
      </c>
      <c r="M59" s="7">
        <v>54</v>
      </c>
      <c r="N59" s="5" t="s">
        <v>652</v>
      </c>
      <c r="O59" s="3" t="s">
        <v>666</v>
      </c>
      <c r="P59" s="3" t="s">
        <v>14</v>
      </c>
      <c r="Q59" s="3">
        <v>4</v>
      </c>
      <c r="R59" s="43">
        <f>VLOOKUP('64'!O59,Malzemeler!C:D,2,0)</f>
        <v>0</v>
      </c>
      <c r="S59" s="43">
        <f t="shared" si="1"/>
        <v>0</v>
      </c>
    </row>
    <row r="60" spans="1:19" x14ac:dyDescent="0.35">
      <c r="A60" s="104"/>
      <c r="B60" s="1">
        <v>64</v>
      </c>
      <c r="C60" s="1" t="s">
        <v>698</v>
      </c>
      <c r="D60" s="1" t="s">
        <v>698</v>
      </c>
      <c r="E60" s="1" t="s">
        <v>698</v>
      </c>
      <c r="F60" s="1" t="s">
        <v>698</v>
      </c>
      <c r="G60" s="1" t="s">
        <v>698</v>
      </c>
      <c r="H60" s="1" t="s">
        <v>698</v>
      </c>
      <c r="I60" s="1" t="s">
        <v>698</v>
      </c>
      <c r="J60" s="1">
        <f t="shared" si="4"/>
        <v>1</v>
      </c>
      <c r="L60" s="1" t="s">
        <v>723</v>
      </c>
      <c r="M60" s="7">
        <v>55</v>
      </c>
      <c r="N60" s="5" t="s">
        <v>653</v>
      </c>
      <c r="O60" s="3" t="s">
        <v>667</v>
      </c>
      <c r="P60" s="3" t="s">
        <v>14</v>
      </c>
      <c r="Q60" s="3">
        <v>4</v>
      </c>
      <c r="R60" s="43">
        <f>VLOOKUP('64'!O60,Malzemeler!C:D,2,0)</f>
        <v>0</v>
      </c>
      <c r="S60" s="43">
        <f t="shared" si="1"/>
        <v>0</v>
      </c>
    </row>
    <row r="61" spans="1:19" x14ac:dyDescent="0.35">
      <c r="A61" s="104"/>
      <c r="B61" s="1">
        <v>64</v>
      </c>
      <c r="C61" s="1" t="s">
        <v>698</v>
      </c>
      <c r="D61" s="1" t="s">
        <v>698</v>
      </c>
      <c r="E61" s="1" t="s">
        <v>698</v>
      </c>
      <c r="F61" s="1" t="s">
        <v>698</v>
      </c>
      <c r="G61" s="1" t="s">
        <v>698</v>
      </c>
      <c r="H61" s="1" t="s">
        <v>698</v>
      </c>
      <c r="I61" s="1" t="s">
        <v>698</v>
      </c>
      <c r="J61" s="1">
        <f t="shared" si="4"/>
        <v>1</v>
      </c>
      <c r="L61" s="1" t="s">
        <v>723</v>
      </c>
      <c r="M61" s="7">
        <v>56</v>
      </c>
      <c r="N61" s="5" t="s">
        <v>639</v>
      </c>
      <c r="O61" s="3" t="s">
        <v>657</v>
      </c>
      <c r="P61" s="3" t="s">
        <v>14</v>
      </c>
      <c r="Q61" s="3">
        <v>80</v>
      </c>
      <c r="R61" s="43">
        <f>VLOOKUP('64'!O61,Malzemeler!C:D,2,0)</f>
        <v>0</v>
      </c>
      <c r="S61" s="43">
        <f t="shared" si="1"/>
        <v>0</v>
      </c>
    </row>
    <row r="62" spans="1:19" x14ac:dyDescent="0.35">
      <c r="A62" s="104"/>
      <c r="B62" s="1">
        <v>64</v>
      </c>
      <c r="C62" s="1" t="s">
        <v>698</v>
      </c>
      <c r="D62" s="1" t="s">
        <v>698</v>
      </c>
      <c r="E62" s="1" t="s">
        <v>698</v>
      </c>
      <c r="F62" s="1" t="s">
        <v>698</v>
      </c>
      <c r="G62" s="1" t="s">
        <v>698</v>
      </c>
      <c r="H62" s="1" t="s">
        <v>698</v>
      </c>
      <c r="I62" s="1" t="s">
        <v>698</v>
      </c>
      <c r="J62" s="1">
        <f t="shared" ref="J62:J94" si="5">SUBTOTAL(103,B62)</f>
        <v>1</v>
      </c>
      <c r="L62" s="1" t="s">
        <v>723</v>
      </c>
      <c r="M62" s="7">
        <v>57</v>
      </c>
      <c r="N62" s="5" t="s">
        <v>640</v>
      </c>
      <c r="O62" s="3" t="s">
        <v>658</v>
      </c>
      <c r="P62" s="3" t="s">
        <v>14</v>
      </c>
      <c r="Q62" s="3">
        <v>20</v>
      </c>
      <c r="R62" s="43">
        <f>VLOOKUP('64'!O62,Malzemeler!C:D,2,0)</f>
        <v>0</v>
      </c>
      <c r="S62" s="43">
        <f t="shared" si="1"/>
        <v>0</v>
      </c>
    </row>
    <row r="63" spans="1:19" x14ac:dyDescent="0.35">
      <c r="A63" s="104"/>
      <c r="B63" s="1">
        <v>64</v>
      </c>
      <c r="C63" s="1" t="s">
        <v>698</v>
      </c>
      <c r="D63" s="1" t="s">
        <v>698</v>
      </c>
      <c r="E63" s="1" t="s">
        <v>698</v>
      </c>
      <c r="F63" s="1" t="s">
        <v>698</v>
      </c>
      <c r="G63" s="1" t="s">
        <v>698</v>
      </c>
      <c r="H63" s="1" t="s">
        <v>698</v>
      </c>
      <c r="I63" s="1" t="s">
        <v>698</v>
      </c>
      <c r="J63" s="1">
        <f t="shared" si="5"/>
        <v>1</v>
      </c>
      <c r="L63" s="1" t="s">
        <v>723</v>
      </c>
      <c r="M63" s="7">
        <v>58</v>
      </c>
      <c r="N63" s="5" t="s">
        <v>641</v>
      </c>
      <c r="O63" s="3" t="s">
        <v>659</v>
      </c>
      <c r="P63" s="3" t="s">
        <v>14</v>
      </c>
      <c r="Q63" s="3">
        <v>20</v>
      </c>
      <c r="R63" s="43">
        <f>VLOOKUP('64'!O63,Malzemeler!C:D,2,0)</f>
        <v>0</v>
      </c>
      <c r="S63" s="43">
        <f t="shared" si="1"/>
        <v>0</v>
      </c>
    </row>
    <row r="64" spans="1:19" x14ac:dyDescent="0.35">
      <c r="A64" s="104"/>
      <c r="B64" s="1">
        <v>64</v>
      </c>
      <c r="C64" s="1" t="s">
        <v>698</v>
      </c>
      <c r="D64" s="1" t="s">
        <v>698</v>
      </c>
      <c r="E64" s="1" t="s">
        <v>698</v>
      </c>
      <c r="F64" s="1" t="s">
        <v>698</v>
      </c>
      <c r="G64" s="1" t="s">
        <v>698</v>
      </c>
      <c r="H64" s="1" t="s">
        <v>698</v>
      </c>
      <c r="I64" s="1" t="s">
        <v>698</v>
      </c>
      <c r="J64" s="1">
        <f t="shared" si="5"/>
        <v>1</v>
      </c>
      <c r="L64" s="1" t="s">
        <v>723</v>
      </c>
      <c r="M64" s="7">
        <v>59</v>
      </c>
      <c r="N64" s="5" t="s">
        <v>264</v>
      </c>
      <c r="O64" s="3" t="s">
        <v>265</v>
      </c>
      <c r="P64" s="3" t="s">
        <v>14</v>
      </c>
      <c r="Q64" s="3">
        <v>2</v>
      </c>
      <c r="R64" s="43">
        <f>VLOOKUP('64'!O64,Malzemeler!C:D,2,0)</f>
        <v>8.2200000000000006</v>
      </c>
      <c r="S64" s="43">
        <f t="shared" si="1"/>
        <v>16.440000000000001</v>
      </c>
    </row>
    <row r="65" spans="1:19" x14ac:dyDescent="0.35">
      <c r="A65" s="104"/>
      <c r="B65" s="1">
        <v>64</v>
      </c>
      <c r="C65" s="1" t="s">
        <v>698</v>
      </c>
      <c r="D65" s="1" t="s">
        <v>698</v>
      </c>
      <c r="E65" s="1" t="s">
        <v>698</v>
      </c>
      <c r="F65" s="1" t="s">
        <v>698</v>
      </c>
      <c r="G65" s="1" t="s">
        <v>698</v>
      </c>
      <c r="H65" s="1" t="s">
        <v>698</v>
      </c>
      <c r="I65" s="1" t="s">
        <v>698</v>
      </c>
      <c r="J65" s="1">
        <f t="shared" si="5"/>
        <v>1</v>
      </c>
      <c r="L65" s="1" t="s">
        <v>723</v>
      </c>
      <c r="M65" s="7">
        <v>60</v>
      </c>
      <c r="N65" s="5" t="s">
        <v>266</v>
      </c>
      <c r="O65" s="3" t="s">
        <v>267</v>
      </c>
      <c r="P65" s="3" t="s">
        <v>14</v>
      </c>
      <c r="Q65" s="3">
        <v>8</v>
      </c>
      <c r="R65" s="43">
        <f>VLOOKUP('64'!O65,Malzemeler!C:D,2,0)</f>
        <v>3.4609999999999999</v>
      </c>
      <c r="S65" s="43">
        <f t="shared" si="1"/>
        <v>27.687999999999999</v>
      </c>
    </row>
    <row r="66" spans="1:19" x14ac:dyDescent="0.35">
      <c r="A66" s="104"/>
      <c r="B66" s="1">
        <v>64</v>
      </c>
      <c r="C66" s="1" t="s">
        <v>698</v>
      </c>
      <c r="D66" s="1" t="s">
        <v>698</v>
      </c>
      <c r="E66" s="1" t="s">
        <v>698</v>
      </c>
      <c r="F66" s="1" t="s">
        <v>698</v>
      </c>
      <c r="G66" s="1" t="s">
        <v>698</v>
      </c>
      <c r="H66" s="1" t="s">
        <v>698</v>
      </c>
      <c r="I66" s="1" t="s">
        <v>698</v>
      </c>
      <c r="J66" s="1">
        <f t="shared" si="5"/>
        <v>1</v>
      </c>
      <c r="L66" s="1" t="s">
        <v>723</v>
      </c>
      <c r="M66" s="7">
        <v>61</v>
      </c>
      <c r="N66" s="5" t="s">
        <v>268</v>
      </c>
      <c r="O66" s="3" t="s">
        <v>269</v>
      </c>
      <c r="P66" s="3" t="s">
        <v>14</v>
      </c>
      <c r="Q66" s="3">
        <v>10</v>
      </c>
      <c r="R66" s="43">
        <f>VLOOKUP('64'!O66,Malzemeler!C:D,2,0)</f>
        <v>3.2450000000000001</v>
      </c>
      <c r="S66" s="43">
        <f t="shared" si="1"/>
        <v>32.450000000000003</v>
      </c>
    </row>
    <row r="67" spans="1:19" x14ac:dyDescent="0.35">
      <c r="A67" s="104"/>
      <c r="B67" s="1">
        <v>64</v>
      </c>
      <c r="C67" s="1" t="s">
        <v>698</v>
      </c>
      <c r="D67" s="1" t="s">
        <v>698</v>
      </c>
      <c r="E67" s="1" t="s">
        <v>698</v>
      </c>
      <c r="F67" s="1" t="s">
        <v>698</v>
      </c>
      <c r="G67" s="1" t="s">
        <v>698</v>
      </c>
      <c r="H67" s="1" t="s">
        <v>698</v>
      </c>
      <c r="I67" s="1" t="s">
        <v>698</v>
      </c>
      <c r="J67" s="1">
        <f t="shared" si="5"/>
        <v>1</v>
      </c>
      <c r="L67" s="1" t="s">
        <v>723</v>
      </c>
      <c r="M67" s="7">
        <v>62</v>
      </c>
      <c r="N67" s="5" t="s">
        <v>642</v>
      </c>
      <c r="O67" s="3" t="s">
        <v>660</v>
      </c>
      <c r="P67" s="3" t="s">
        <v>14</v>
      </c>
      <c r="Q67" s="3">
        <v>27</v>
      </c>
      <c r="R67" s="43">
        <f>VLOOKUP('64'!O67,Malzemeler!C:D,2,0)</f>
        <v>0</v>
      </c>
      <c r="S67" s="43">
        <f t="shared" ref="S67:S133" si="6">+R67*Q67</f>
        <v>0</v>
      </c>
    </row>
    <row r="68" spans="1:19" x14ac:dyDescent="0.35">
      <c r="A68" s="104"/>
      <c r="B68" s="1">
        <v>64</v>
      </c>
      <c r="C68" s="1" t="s">
        <v>698</v>
      </c>
      <c r="D68" s="1" t="s">
        <v>698</v>
      </c>
      <c r="E68" s="1" t="s">
        <v>698</v>
      </c>
      <c r="F68" s="1" t="s">
        <v>698</v>
      </c>
      <c r="G68" s="1" t="s">
        <v>698</v>
      </c>
      <c r="H68" s="1" t="s">
        <v>698</v>
      </c>
      <c r="I68" s="1" t="s">
        <v>698</v>
      </c>
      <c r="J68" s="1">
        <f t="shared" si="5"/>
        <v>1</v>
      </c>
      <c r="L68" s="1" t="s">
        <v>723</v>
      </c>
      <c r="M68" s="7">
        <v>63</v>
      </c>
      <c r="N68" s="5" t="s">
        <v>272</v>
      </c>
      <c r="O68" s="3" t="s">
        <v>273</v>
      </c>
      <c r="P68" s="3" t="s">
        <v>14</v>
      </c>
      <c r="Q68" s="3">
        <v>12</v>
      </c>
      <c r="R68" s="43">
        <f>VLOOKUP('64'!O68,Malzemeler!C:D,2,0)</f>
        <v>1</v>
      </c>
      <c r="S68" s="43">
        <f t="shared" si="6"/>
        <v>12</v>
      </c>
    </row>
    <row r="69" spans="1:19" x14ac:dyDescent="0.35">
      <c r="A69" s="104"/>
      <c r="B69" s="1">
        <v>64</v>
      </c>
      <c r="C69" s="1" t="s">
        <v>698</v>
      </c>
      <c r="D69" s="1" t="s">
        <v>698</v>
      </c>
      <c r="E69" s="1" t="s">
        <v>698</v>
      </c>
      <c r="F69" s="1" t="s">
        <v>698</v>
      </c>
      <c r="G69" s="1" t="s">
        <v>698</v>
      </c>
      <c r="H69" s="1" t="s">
        <v>698</v>
      </c>
      <c r="I69" s="1" t="s">
        <v>698</v>
      </c>
      <c r="J69" s="1">
        <f t="shared" si="5"/>
        <v>1</v>
      </c>
      <c r="L69" s="1" t="s">
        <v>723</v>
      </c>
      <c r="M69" s="7">
        <v>64</v>
      </c>
      <c r="N69" s="5" t="s">
        <v>274</v>
      </c>
      <c r="O69" s="3" t="s">
        <v>275</v>
      </c>
      <c r="P69" s="3" t="s">
        <v>14</v>
      </c>
      <c r="Q69" s="3">
        <v>2</v>
      </c>
      <c r="R69" s="43">
        <f>VLOOKUP('64'!O69,Malzemeler!C:D,2,0)</f>
        <v>6.3</v>
      </c>
      <c r="S69" s="43">
        <f t="shared" si="6"/>
        <v>12.6</v>
      </c>
    </row>
    <row r="70" spans="1:19" x14ac:dyDescent="0.35">
      <c r="A70" s="104"/>
      <c r="B70" s="1">
        <v>64</v>
      </c>
      <c r="C70" s="1" t="s">
        <v>698</v>
      </c>
      <c r="D70" s="1" t="s">
        <v>698</v>
      </c>
      <c r="E70" s="1" t="s">
        <v>698</v>
      </c>
      <c r="F70" s="1" t="s">
        <v>698</v>
      </c>
      <c r="G70" s="1" t="s">
        <v>698</v>
      </c>
      <c r="H70" s="1" t="s">
        <v>698</v>
      </c>
      <c r="I70" s="1" t="s">
        <v>698</v>
      </c>
      <c r="J70" s="1">
        <f t="shared" si="5"/>
        <v>1</v>
      </c>
      <c r="L70" s="1" t="s">
        <v>723</v>
      </c>
      <c r="M70" s="7">
        <v>65</v>
      </c>
      <c r="N70" s="5" t="s">
        <v>643</v>
      </c>
      <c r="O70" s="3" t="s">
        <v>661</v>
      </c>
      <c r="P70" s="3" t="s">
        <v>14</v>
      </c>
      <c r="Q70" s="3">
        <v>11.030000000000001</v>
      </c>
      <c r="R70" s="43">
        <f>VLOOKUP('64'!O70,Malzemeler!C:D,2,0)</f>
        <v>0</v>
      </c>
      <c r="S70" s="43">
        <f t="shared" si="6"/>
        <v>0</v>
      </c>
    </row>
    <row r="71" spans="1:19" x14ac:dyDescent="0.35">
      <c r="A71" s="104"/>
      <c r="B71" s="1">
        <v>64</v>
      </c>
      <c r="C71" s="1" t="s">
        <v>698</v>
      </c>
      <c r="D71" s="1" t="s">
        <v>698</v>
      </c>
      <c r="E71" s="1" t="s">
        <v>698</v>
      </c>
      <c r="F71" s="1" t="s">
        <v>698</v>
      </c>
      <c r="G71" s="1" t="s">
        <v>698</v>
      </c>
      <c r="H71" s="1" t="s">
        <v>698</v>
      </c>
      <c r="I71" s="1" t="s">
        <v>698</v>
      </c>
      <c r="J71" s="1">
        <f t="shared" si="5"/>
        <v>1</v>
      </c>
      <c r="L71" s="1" t="s">
        <v>723</v>
      </c>
      <c r="M71" s="7">
        <v>66</v>
      </c>
      <c r="N71" s="5" t="s">
        <v>313</v>
      </c>
      <c r="O71" s="3" t="s">
        <v>314</v>
      </c>
      <c r="P71" s="3" t="s">
        <v>14</v>
      </c>
      <c r="Q71" s="3">
        <v>34.008000000000003</v>
      </c>
      <c r="R71" s="43">
        <f>VLOOKUP('64'!O71,Malzemeler!C:D,2,0)</f>
        <v>1.1399999999999999</v>
      </c>
      <c r="S71" s="43">
        <f t="shared" si="6"/>
        <v>38.769120000000001</v>
      </c>
    </row>
    <row r="72" spans="1:19" x14ac:dyDescent="0.35">
      <c r="A72" s="104"/>
      <c r="B72" s="1">
        <v>64</v>
      </c>
      <c r="C72" s="1" t="s">
        <v>698</v>
      </c>
      <c r="D72" s="1" t="s">
        <v>698</v>
      </c>
      <c r="E72" s="1" t="s">
        <v>698</v>
      </c>
      <c r="F72" s="1" t="s">
        <v>698</v>
      </c>
      <c r="G72" s="1" t="s">
        <v>698</v>
      </c>
      <c r="H72" s="1" t="s">
        <v>698</v>
      </c>
      <c r="I72" s="1" t="s">
        <v>698</v>
      </c>
      <c r="J72" s="1">
        <f t="shared" si="5"/>
        <v>1</v>
      </c>
      <c r="L72" s="1" t="s">
        <v>723</v>
      </c>
      <c r="M72" s="7">
        <v>67</v>
      </c>
      <c r="N72" s="5" t="s">
        <v>315</v>
      </c>
      <c r="O72" s="3" t="s">
        <v>316</v>
      </c>
      <c r="P72" s="3" t="s">
        <v>14</v>
      </c>
      <c r="Q72" s="3">
        <v>68.261160000000004</v>
      </c>
      <c r="R72" s="43">
        <f>VLOOKUP('64'!O72,Malzemeler!C:D,2,0)</f>
        <v>0.35</v>
      </c>
      <c r="S72" s="43">
        <f t="shared" si="6"/>
        <v>23.891406</v>
      </c>
    </row>
    <row r="73" spans="1:19" x14ac:dyDescent="0.35">
      <c r="A73" s="104"/>
      <c r="B73" s="1">
        <v>64</v>
      </c>
      <c r="C73" s="1" t="s">
        <v>698</v>
      </c>
      <c r="D73" s="1" t="s">
        <v>698</v>
      </c>
      <c r="E73" s="1" t="s">
        <v>698</v>
      </c>
      <c r="F73" s="1" t="s">
        <v>698</v>
      </c>
      <c r="G73" s="1" t="s">
        <v>698</v>
      </c>
      <c r="H73" s="1" t="s">
        <v>698</v>
      </c>
      <c r="I73" s="1" t="s">
        <v>698</v>
      </c>
      <c r="J73" s="1">
        <f t="shared" si="5"/>
        <v>1</v>
      </c>
      <c r="L73" s="1" t="s">
        <v>723</v>
      </c>
      <c r="M73" s="7">
        <v>68</v>
      </c>
      <c r="N73" s="5" t="s">
        <v>317</v>
      </c>
      <c r="O73" s="3" t="s">
        <v>318</v>
      </c>
      <c r="P73" s="3" t="s">
        <v>14</v>
      </c>
      <c r="Q73" s="3">
        <v>48.351655000000001</v>
      </c>
      <c r="R73" s="43">
        <f>VLOOKUP('64'!O73,Malzemeler!C:D,2,0)</f>
        <v>0.35</v>
      </c>
      <c r="S73" s="43">
        <f t="shared" si="6"/>
        <v>16.923079250000001</v>
      </c>
    </row>
    <row r="74" spans="1:19" x14ac:dyDescent="0.35">
      <c r="A74" s="104"/>
      <c r="B74" s="1">
        <v>64</v>
      </c>
      <c r="C74" s="1" t="s">
        <v>698</v>
      </c>
      <c r="D74" s="1" t="s">
        <v>698</v>
      </c>
      <c r="E74" s="1" t="s">
        <v>698</v>
      </c>
      <c r="F74" s="1" t="s">
        <v>698</v>
      </c>
      <c r="G74" s="1" t="s">
        <v>698</v>
      </c>
      <c r="H74" s="1" t="s">
        <v>698</v>
      </c>
      <c r="I74" s="1" t="s">
        <v>698</v>
      </c>
      <c r="J74" s="1">
        <f t="shared" si="5"/>
        <v>1</v>
      </c>
      <c r="L74" s="1" t="s">
        <v>723</v>
      </c>
      <c r="M74" s="7">
        <v>69</v>
      </c>
      <c r="N74" s="5" t="s">
        <v>319</v>
      </c>
      <c r="O74" s="3" t="s">
        <v>320</v>
      </c>
      <c r="P74" s="3" t="s">
        <v>14</v>
      </c>
      <c r="Q74" s="3">
        <v>4</v>
      </c>
      <c r="R74" s="43">
        <f>VLOOKUP('64'!O74,Malzemeler!C:D,2,0)</f>
        <v>0.8</v>
      </c>
      <c r="S74" s="43">
        <f t="shared" si="6"/>
        <v>3.2</v>
      </c>
    </row>
    <row r="75" spans="1:19" x14ac:dyDescent="0.35">
      <c r="A75" s="104"/>
      <c r="B75" s="1">
        <v>64</v>
      </c>
      <c r="C75" s="1" t="s">
        <v>698</v>
      </c>
      <c r="D75" s="1" t="s">
        <v>698</v>
      </c>
      <c r="E75" s="1" t="s">
        <v>698</v>
      </c>
      <c r="F75" s="1" t="s">
        <v>698</v>
      </c>
      <c r="G75" s="1" t="s">
        <v>698</v>
      </c>
      <c r="H75" s="1" t="s">
        <v>698</v>
      </c>
      <c r="I75" s="1" t="s">
        <v>698</v>
      </c>
      <c r="J75" s="1">
        <f t="shared" si="5"/>
        <v>1</v>
      </c>
      <c r="L75" s="1" t="s">
        <v>723</v>
      </c>
      <c r="M75" s="7">
        <v>70</v>
      </c>
      <c r="N75" s="5" t="s">
        <v>321</v>
      </c>
      <c r="O75" s="3" t="s">
        <v>322</v>
      </c>
      <c r="P75" s="3" t="s">
        <v>14</v>
      </c>
      <c r="Q75" s="3">
        <v>131.53129000000001</v>
      </c>
      <c r="R75" s="43">
        <f>VLOOKUP('64'!O75,Malzemeler!C:D,2,0)</f>
        <v>0.21</v>
      </c>
      <c r="S75" s="43">
        <f t="shared" si="6"/>
        <v>27.621570900000002</v>
      </c>
    </row>
    <row r="76" spans="1:19" x14ac:dyDescent="0.35">
      <c r="A76" s="104"/>
      <c r="B76" s="1">
        <v>64</v>
      </c>
      <c r="C76" s="1" t="s">
        <v>698</v>
      </c>
      <c r="D76" s="1" t="s">
        <v>698</v>
      </c>
      <c r="E76" s="1" t="s">
        <v>698</v>
      </c>
      <c r="F76" s="1" t="s">
        <v>698</v>
      </c>
      <c r="G76" s="1" t="s">
        <v>698</v>
      </c>
      <c r="H76" s="1" t="s">
        <v>698</v>
      </c>
      <c r="I76" s="1" t="s">
        <v>698</v>
      </c>
      <c r="J76" s="1">
        <f t="shared" si="5"/>
        <v>1</v>
      </c>
      <c r="L76" s="1" t="s">
        <v>723</v>
      </c>
      <c r="M76" s="7">
        <v>71</v>
      </c>
      <c r="N76" s="5" t="s">
        <v>323</v>
      </c>
      <c r="O76" s="3" t="s">
        <v>324</v>
      </c>
      <c r="P76" s="3" t="s">
        <v>14</v>
      </c>
      <c r="Q76" s="3">
        <v>2</v>
      </c>
      <c r="R76" s="43">
        <f>VLOOKUP('64'!O76,Malzemeler!C:D,2,0)</f>
        <v>0.8</v>
      </c>
      <c r="S76" s="43">
        <f t="shared" si="6"/>
        <v>1.6</v>
      </c>
    </row>
    <row r="77" spans="1:19" x14ac:dyDescent="0.35">
      <c r="A77" s="104"/>
      <c r="B77" s="1">
        <v>64</v>
      </c>
      <c r="C77" s="1" t="s">
        <v>698</v>
      </c>
      <c r="D77" s="1" t="s">
        <v>698</v>
      </c>
      <c r="E77" s="1" t="s">
        <v>698</v>
      </c>
      <c r="F77" s="1" t="s">
        <v>698</v>
      </c>
      <c r="G77" s="1" t="s">
        <v>698</v>
      </c>
      <c r="H77" s="1" t="s">
        <v>698</v>
      </c>
      <c r="I77" s="1" t="s">
        <v>698</v>
      </c>
      <c r="J77" s="1">
        <f t="shared" si="5"/>
        <v>1</v>
      </c>
      <c r="L77" s="1" t="s">
        <v>723</v>
      </c>
      <c r="M77" s="7">
        <v>72</v>
      </c>
      <c r="N77" s="5" t="s">
        <v>325</v>
      </c>
      <c r="O77" s="3" t="s">
        <v>326</v>
      </c>
      <c r="P77" s="3" t="s">
        <v>14</v>
      </c>
      <c r="Q77" s="3">
        <v>308.12329166666632</v>
      </c>
      <c r="R77" s="43">
        <f>VLOOKUP('64'!O77,Malzemeler!C:D,2,0)</f>
        <v>0.17</v>
      </c>
      <c r="S77" s="43">
        <f t="shared" si="6"/>
        <v>52.380959583333279</v>
      </c>
    </row>
    <row r="78" spans="1:19" x14ac:dyDescent="0.35">
      <c r="A78" s="104"/>
      <c r="B78" s="1">
        <v>64</v>
      </c>
      <c r="C78" s="1" t="s">
        <v>698</v>
      </c>
      <c r="D78" s="1" t="s">
        <v>698</v>
      </c>
      <c r="E78" s="1" t="s">
        <v>698</v>
      </c>
      <c r="F78" s="1" t="s">
        <v>698</v>
      </c>
      <c r="G78" s="1" t="s">
        <v>698</v>
      </c>
      <c r="H78" s="1" t="s">
        <v>698</v>
      </c>
      <c r="I78" s="1" t="s">
        <v>698</v>
      </c>
      <c r="J78" s="1">
        <f t="shared" si="5"/>
        <v>1</v>
      </c>
      <c r="L78" s="1" t="s">
        <v>723</v>
      </c>
      <c r="M78" s="7">
        <v>73</v>
      </c>
      <c r="N78" s="5" t="s">
        <v>327</v>
      </c>
      <c r="O78" s="3" t="s">
        <v>328</v>
      </c>
      <c r="P78" s="3" t="s">
        <v>14</v>
      </c>
      <c r="Q78" s="3">
        <v>146</v>
      </c>
      <c r="R78" s="43">
        <f>VLOOKUP('64'!O78,Malzemeler!C:D,2,0)</f>
        <v>0.66</v>
      </c>
      <c r="S78" s="43">
        <f t="shared" si="6"/>
        <v>96.36</v>
      </c>
    </row>
    <row r="79" spans="1:19" x14ac:dyDescent="0.35">
      <c r="A79" s="104"/>
      <c r="B79" s="1">
        <v>64</v>
      </c>
      <c r="C79" s="1" t="s">
        <v>698</v>
      </c>
      <c r="D79" s="1" t="s">
        <v>698</v>
      </c>
      <c r="E79" s="1" t="s">
        <v>698</v>
      </c>
      <c r="F79" s="1" t="s">
        <v>698</v>
      </c>
      <c r="G79" s="1" t="s">
        <v>698</v>
      </c>
      <c r="H79" s="1" t="s">
        <v>698</v>
      </c>
      <c r="I79" s="1" t="s">
        <v>698</v>
      </c>
      <c r="J79" s="1">
        <f t="shared" si="5"/>
        <v>1</v>
      </c>
      <c r="L79" s="1" t="s">
        <v>723</v>
      </c>
      <c r="M79" s="7">
        <v>74</v>
      </c>
      <c r="N79" s="5" t="s">
        <v>329</v>
      </c>
      <c r="O79" s="3" t="s">
        <v>330</v>
      </c>
      <c r="P79" s="3" t="s">
        <v>14</v>
      </c>
      <c r="Q79" s="3">
        <v>146</v>
      </c>
      <c r="R79" s="43">
        <f>VLOOKUP('64'!O79,Malzemeler!C:D,2,0)</f>
        <v>0.28999999999999998</v>
      </c>
      <c r="S79" s="43">
        <f t="shared" si="6"/>
        <v>42.339999999999996</v>
      </c>
    </row>
    <row r="80" spans="1:19" x14ac:dyDescent="0.35">
      <c r="A80" s="104"/>
      <c r="B80" s="1">
        <v>64</v>
      </c>
      <c r="C80" s="1" t="s">
        <v>698</v>
      </c>
      <c r="D80" s="1" t="s">
        <v>698</v>
      </c>
      <c r="E80" s="1" t="s">
        <v>698</v>
      </c>
      <c r="F80" s="1" t="s">
        <v>698</v>
      </c>
      <c r="G80" s="1" t="s">
        <v>698</v>
      </c>
      <c r="H80" s="1" t="s">
        <v>698</v>
      </c>
      <c r="I80" s="1" t="s">
        <v>698</v>
      </c>
      <c r="J80" s="1">
        <f t="shared" si="5"/>
        <v>1</v>
      </c>
      <c r="L80" s="1" t="s">
        <v>723</v>
      </c>
      <c r="M80" s="7">
        <v>75</v>
      </c>
      <c r="N80" s="5" t="s">
        <v>331</v>
      </c>
      <c r="O80" s="3" t="s">
        <v>332</v>
      </c>
      <c r="P80" s="3" t="s">
        <v>14</v>
      </c>
      <c r="Q80" s="3">
        <v>146</v>
      </c>
      <c r="R80" s="43">
        <f>VLOOKUP('64'!O80,Malzemeler!C:D,2,0)</f>
        <v>0.28999999999999998</v>
      </c>
      <c r="S80" s="43">
        <f t="shared" si="6"/>
        <v>42.339999999999996</v>
      </c>
    </row>
    <row r="81" spans="1:19" x14ac:dyDescent="0.35">
      <c r="A81" s="104"/>
      <c r="B81" s="1">
        <v>64</v>
      </c>
      <c r="C81" s="1" t="s">
        <v>698</v>
      </c>
      <c r="D81" s="1" t="s">
        <v>698</v>
      </c>
      <c r="E81" s="1" t="s">
        <v>698</v>
      </c>
      <c r="F81" s="1" t="s">
        <v>698</v>
      </c>
      <c r="G81" s="1" t="s">
        <v>698</v>
      </c>
      <c r="H81" s="1" t="s">
        <v>698</v>
      </c>
      <c r="I81" s="1" t="s">
        <v>698</v>
      </c>
      <c r="J81" s="1">
        <f t="shared" si="5"/>
        <v>1</v>
      </c>
      <c r="L81" s="1" t="s">
        <v>723</v>
      </c>
      <c r="M81" s="7">
        <v>76</v>
      </c>
      <c r="N81" s="5" t="s">
        <v>333</v>
      </c>
      <c r="O81" s="3" t="s">
        <v>334</v>
      </c>
      <c r="P81" s="3" t="s">
        <v>14</v>
      </c>
      <c r="Q81" s="3">
        <v>146</v>
      </c>
      <c r="R81" s="43">
        <f>VLOOKUP('64'!O81,Malzemeler!C:D,2,0)</f>
        <v>0.18</v>
      </c>
      <c r="S81" s="43">
        <f t="shared" si="6"/>
        <v>26.279999999999998</v>
      </c>
    </row>
    <row r="82" spans="1:19" x14ac:dyDescent="0.35">
      <c r="A82" s="104"/>
      <c r="B82" s="1">
        <v>64</v>
      </c>
      <c r="C82" s="1" t="s">
        <v>698</v>
      </c>
      <c r="D82" s="1" t="s">
        <v>698</v>
      </c>
      <c r="E82" s="1" t="s">
        <v>698</v>
      </c>
      <c r="F82" s="1" t="s">
        <v>698</v>
      </c>
      <c r="G82" s="1" t="s">
        <v>698</v>
      </c>
      <c r="H82" s="1" t="s">
        <v>698</v>
      </c>
      <c r="I82" s="1" t="s">
        <v>698</v>
      </c>
      <c r="J82" s="1">
        <f t="shared" si="5"/>
        <v>1</v>
      </c>
      <c r="L82" s="1" t="s">
        <v>723</v>
      </c>
      <c r="M82" s="7">
        <v>77</v>
      </c>
      <c r="N82" s="5" t="s">
        <v>335</v>
      </c>
      <c r="O82" s="3" t="s">
        <v>336</v>
      </c>
      <c r="P82" s="3" t="s">
        <v>14</v>
      </c>
      <c r="Q82" s="3">
        <v>146</v>
      </c>
      <c r="R82" s="43">
        <f>VLOOKUP('64'!O82,Malzemeler!C:D,2,0)</f>
        <v>0.26</v>
      </c>
      <c r="S82" s="43">
        <f t="shared" si="6"/>
        <v>37.96</v>
      </c>
    </row>
    <row r="83" spans="1:19" x14ac:dyDescent="0.35">
      <c r="A83" s="104"/>
      <c r="B83" s="1">
        <v>64</v>
      </c>
      <c r="C83" s="1" t="s">
        <v>698</v>
      </c>
      <c r="D83" s="1" t="s">
        <v>698</v>
      </c>
      <c r="E83" s="1" t="s">
        <v>698</v>
      </c>
      <c r="F83" s="1" t="s">
        <v>698</v>
      </c>
      <c r="G83" s="1" t="s">
        <v>698</v>
      </c>
      <c r="H83" s="1" t="s">
        <v>698</v>
      </c>
      <c r="I83" s="1" t="s">
        <v>698</v>
      </c>
      <c r="J83" s="1">
        <f t="shared" si="5"/>
        <v>1</v>
      </c>
      <c r="L83" s="1" t="s">
        <v>723</v>
      </c>
      <c r="M83" s="7">
        <v>78</v>
      </c>
      <c r="N83" s="5" t="s">
        <v>644</v>
      </c>
      <c r="O83" s="3" t="s">
        <v>662</v>
      </c>
      <c r="P83" s="3" t="s">
        <v>14</v>
      </c>
      <c r="Q83" s="3">
        <v>0.67015670400000005</v>
      </c>
      <c r="R83" s="43">
        <f>VLOOKUP('64'!O83,Malzemeler!C:D,2,0)</f>
        <v>0</v>
      </c>
      <c r="S83" s="43">
        <f t="shared" si="6"/>
        <v>0</v>
      </c>
    </row>
    <row r="84" spans="1:19" x14ac:dyDescent="0.35">
      <c r="A84" s="104"/>
      <c r="B84" s="1">
        <v>64</v>
      </c>
      <c r="C84" s="1" t="s">
        <v>698</v>
      </c>
      <c r="D84" s="1" t="s">
        <v>698</v>
      </c>
      <c r="E84" s="1" t="s">
        <v>698</v>
      </c>
      <c r="F84" s="1" t="s">
        <v>698</v>
      </c>
      <c r="G84" s="1" t="s">
        <v>698</v>
      </c>
      <c r="H84" s="1" t="s">
        <v>698</v>
      </c>
      <c r="I84" s="1" t="s">
        <v>698</v>
      </c>
      <c r="J84" s="1">
        <f t="shared" si="5"/>
        <v>1</v>
      </c>
      <c r="L84" s="1" t="s">
        <v>723</v>
      </c>
      <c r="M84" s="7">
        <v>79</v>
      </c>
      <c r="N84" s="5" t="s">
        <v>645</v>
      </c>
      <c r="O84" s="3" t="s">
        <v>663</v>
      </c>
      <c r="P84" s="3" t="s">
        <v>14</v>
      </c>
      <c r="Q84" s="3">
        <v>0.16753917600000001</v>
      </c>
      <c r="R84" s="43">
        <f>VLOOKUP('64'!O84,Malzemeler!C:D,2,0)</f>
        <v>0</v>
      </c>
      <c r="S84" s="43">
        <f t="shared" si="6"/>
        <v>0</v>
      </c>
    </row>
    <row r="85" spans="1:19" x14ac:dyDescent="0.35">
      <c r="A85" s="104"/>
      <c r="B85" s="1">
        <v>64</v>
      </c>
      <c r="C85" s="1" t="s">
        <v>698</v>
      </c>
      <c r="D85" s="1" t="s">
        <v>698</v>
      </c>
      <c r="E85" s="1" t="s">
        <v>698</v>
      </c>
      <c r="F85" s="1" t="s">
        <v>698</v>
      </c>
      <c r="G85" s="1" t="s">
        <v>698</v>
      </c>
      <c r="H85" s="1" t="s">
        <v>698</v>
      </c>
      <c r="I85" s="1" t="s">
        <v>698</v>
      </c>
      <c r="J85" s="1">
        <f t="shared" si="5"/>
        <v>1</v>
      </c>
      <c r="L85" s="1" t="s">
        <v>723</v>
      </c>
      <c r="M85" s="7">
        <v>80</v>
      </c>
      <c r="N85" s="5" t="s">
        <v>646</v>
      </c>
      <c r="O85" s="3" t="s">
        <v>664</v>
      </c>
      <c r="P85" s="3" t="s">
        <v>14</v>
      </c>
      <c r="Q85" s="3">
        <v>58</v>
      </c>
      <c r="R85" s="43">
        <f>VLOOKUP('64'!O85,Malzemeler!C:D,2,0)</f>
        <v>0</v>
      </c>
      <c r="S85" s="43">
        <f t="shared" si="6"/>
        <v>0</v>
      </c>
    </row>
    <row r="86" spans="1:19" x14ac:dyDescent="0.35">
      <c r="A86" s="104"/>
      <c r="B86" s="1">
        <v>64</v>
      </c>
      <c r="C86" s="1" t="s">
        <v>698</v>
      </c>
      <c r="D86" s="1" t="s">
        <v>698</v>
      </c>
      <c r="E86" s="1" t="s">
        <v>698</v>
      </c>
      <c r="F86" s="1" t="s">
        <v>698</v>
      </c>
      <c r="G86" s="1" t="s">
        <v>698</v>
      </c>
      <c r="H86" s="1" t="s">
        <v>698</v>
      </c>
      <c r="I86" s="1" t="s">
        <v>698</v>
      </c>
      <c r="J86" s="1">
        <f t="shared" si="5"/>
        <v>1</v>
      </c>
      <c r="L86" s="1" t="s">
        <v>723</v>
      </c>
      <c r="M86" s="7">
        <v>81</v>
      </c>
      <c r="N86" s="5" t="s">
        <v>337</v>
      </c>
      <c r="O86" s="3" t="s">
        <v>338</v>
      </c>
      <c r="P86" s="3" t="s">
        <v>14</v>
      </c>
      <c r="Q86" s="3">
        <v>12</v>
      </c>
      <c r="R86" s="43">
        <f>VLOOKUP('64'!O86,Malzemeler!C:D,2,0)</f>
        <v>2.25</v>
      </c>
      <c r="S86" s="43">
        <f t="shared" si="6"/>
        <v>27</v>
      </c>
    </row>
    <row r="87" spans="1:19" x14ac:dyDescent="0.35">
      <c r="A87" s="104"/>
      <c r="B87" s="1">
        <v>64</v>
      </c>
      <c r="C87" s="1" t="s">
        <v>698</v>
      </c>
      <c r="D87" s="1" t="s">
        <v>698</v>
      </c>
      <c r="E87" s="1" t="s">
        <v>698</v>
      </c>
      <c r="F87" s="1" t="s">
        <v>698</v>
      </c>
      <c r="G87" s="1" t="s">
        <v>698</v>
      </c>
      <c r="H87" s="1" t="s">
        <v>698</v>
      </c>
      <c r="I87" s="1" t="s">
        <v>698</v>
      </c>
      <c r="J87" s="1">
        <f t="shared" si="5"/>
        <v>1</v>
      </c>
      <c r="L87" s="1" t="s">
        <v>723</v>
      </c>
      <c r="M87" s="7">
        <v>82</v>
      </c>
      <c r="N87" s="5" t="s">
        <v>647</v>
      </c>
      <c r="O87" s="3" t="s">
        <v>665</v>
      </c>
      <c r="P87" s="3" t="s">
        <v>14</v>
      </c>
      <c r="Q87" s="3">
        <v>24</v>
      </c>
      <c r="R87" s="43">
        <f>VLOOKUP('64'!O87,Malzemeler!C:D,2,0)</f>
        <v>0</v>
      </c>
      <c r="S87" s="43">
        <f t="shared" si="6"/>
        <v>0</v>
      </c>
    </row>
    <row r="88" spans="1:19" x14ac:dyDescent="0.35">
      <c r="A88" s="104"/>
      <c r="B88" s="1">
        <v>64</v>
      </c>
      <c r="C88" s="1" t="s">
        <v>698</v>
      </c>
      <c r="D88" s="1" t="s">
        <v>698</v>
      </c>
      <c r="E88" s="1" t="s">
        <v>698</v>
      </c>
      <c r="F88" s="1" t="s">
        <v>698</v>
      </c>
      <c r="G88" s="1" t="s">
        <v>698</v>
      </c>
      <c r="H88" s="1" t="s">
        <v>698</v>
      </c>
      <c r="I88" s="1" t="s">
        <v>698</v>
      </c>
      <c r="J88" s="1">
        <f t="shared" si="5"/>
        <v>1</v>
      </c>
      <c r="L88" s="1" t="s">
        <v>723</v>
      </c>
      <c r="M88" s="7">
        <v>83</v>
      </c>
      <c r="N88" s="5" t="s">
        <v>341</v>
      </c>
      <c r="O88" s="3" t="s">
        <v>342</v>
      </c>
      <c r="P88" s="3" t="s">
        <v>14</v>
      </c>
      <c r="Q88" s="3">
        <v>329.92894000000001</v>
      </c>
      <c r="R88" s="43">
        <f>VLOOKUP('64'!O88,Malzemeler!C:D,2,0)</f>
        <v>0.2</v>
      </c>
      <c r="S88" s="43">
        <f t="shared" si="6"/>
        <v>65.985787999999999</v>
      </c>
    </row>
    <row r="89" spans="1:19" x14ac:dyDescent="0.35">
      <c r="A89" s="104"/>
      <c r="B89" s="1">
        <v>64</v>
      </c>
      <c r="C89" s="1" t="s">
        <v>698</v>
      </c>
      <c r="D89" s="1" t="s">
        <v>698</v>
      </c>
      <c r="E89" s="1" t="s">
        <v>698</v>
      </c>
      <c r="F89" s="1" t="s">
        <v>698</v>
      </c>
      <c r="G89" s="1" t="s">
        <v>698</v>
      </c>
      <c r="H89" s="1" t="s">
        <v>698</v>
      </c>
      <c r="I89" s="1" t="s">
        <v>698</v>
      </c>
      <c r="J89" s="1">
        <f t="shared" si="5"/>
        <v>1</v>
      </c>
      <c r="L89" s="1" t="s">
        <v>723</v>
      </c>
      <c r="M89" s="7">
        <v>84</v>
      </c>
      <c r="N89" s="5" t="s">
        <v>343</v>
      </c>
      <c r="O89" s="3" t="s">
        <v>344</v>
      </c>
      <c r="P89" s="3" t="s">
        <v>14</v>
      </c>
      <c r="Q89" s="3">
        <v>24</v>
      </c>
      <c r="R89" s="43">
        <f>VLOOKUP('64'!O89,Malzemeler!C:D,2,0)</f>
        <v>1</v>
      </c>
      <c r="S89" s="43">
        <f t="shared" si="6"/>
        <v>24</v>
      </c>
    </row>
    <row r="90" spans="1:19" x14ac:dyDescent="0.35">
      <c r="A90" s="104"/>
      <c r="B90" s="1">
        <v>64</v>
      </c>
      <c r="C90" s="1" t="s">
        <v>698</v>
      </c>
      <c r="D90" s="1" t="s">
        <v>698</v>
      </c>
      <c r="E90" s="1" t="s">
        <v>698</v>
      </c>
      <c r="F90" s="1" t="s">
        <v>698</v>
      </c>
      <c r="G90" s="1" t="s">
        <v>698</v>
      </c>
      <c r="H90" s="1" t="s">
        <v>698</v>
      </c>
      <c r="I90" s="1" t="s">
        <v>698</v>
      </c>
      <c r="J90" s="1">
        <f t="shared" si="5"/>
        <v>1</v>
      </c>
      <c r="L90" s="1" t="s">
        <v>723</v>
      </c>
      <c r="M90" s="7">
        <v>85</v>
      </c>
      <c r="N90" s="5" t="s">
        <v>396</v>
      </c>
      <c r="O90" s="3" t="s">
        <v>397</v>
      </c>
      <c r="P90" s="3" t="s">
        <v>14</v>
      </c>
      <c r="Q90" s="3">
        <v>19.909504999999999</v>
      </c>
      <c r="R90" s="43">
        <f>VLOOKUP('64'!O90,Malzemeler!C:D,2,0)</f>
        <v>3.52</v>
      </c>
      <c r="S90" s="43">
        <f t="shared" si="6"/>
        <v>70.081457599999993</v>
      </c>
    </row>
    <row r="91" spans="1:19" x14ac:dyDescent="0.35">
      <c r="A91" s="104"/>
      <c r="B91" s="1">
        <v>64</v>
      </c>
      <c r="C91" s="1" t="s">
        <v>698</v>
      </c>
      <c r="D91" s="1" t="s">
        <v>698</v>
      </c>
      <c r="E91" s="1" t="s">
        <v>698</v>
      </c>
      <c r="F91" s="1" t="s">
        <v>698</v>
      </c>
      <c r="G91" s="1" t="s">
        <v>698</v>
      </c>
      <c r="H91" s="1" t="s">
        <v>698</v>
      </c>
      <c r="I91" s="1" t="s">
        <v>698</v>
      </c>
      <c r="J91" s="1">
        <f t="shared" si="5"/>
        <v>1</v>
      </c>
      <c r="L91" s="1" t="s">
        <v>723</v>
      </c>
      <c r="M91" s="7">
        <v>86</v>
      </c>
      <c r="N91" s="5" t="s">
        <v>349</v>
      </c>
      <c r="O91" s="3" t="s">
        <v>350</v>
      </c>
      <c r="P91" s="3" t="s">
        <v>14</v>
      </c>
      <c r="Q91" s="3">
        <v>2</v>
      </c>
      <c r="R91" s="43">
        <f>VLOOKUP('64'!O91,Malzemeler!C:D,2,0)</f>
        <v>5.44</v>
      </c>
      <c r="S91" s="43">
        <f t="shared" si="6"/>
        <v>10.88</v>
      </c>
    </row>
    <row r="92" spans="1:19" x14ac:dyDescent="0.35">
      <c r="A92" s="104"/>
      <c r="B92" s="1">
        <v>64</v>
      </c>
      <c r="C92" s="1" t="s">
        <v>698</v>
      </c>
      <c r="D92" s="1" t="s">
        <v>698</v>
      </c>
      <c r="E92" s="1" t="s">
        <v>698</v>
      </c>
      <c r="F92" s="1" t="s">
        <v>698</v>
      </c>
      <c r="G92" s="1" t="s">
        <v>698</v>
      </c>
      <c r="H92" s="1" t="s">
        <v>698</v>
      </c>
      <c r="I92" s="1" t="s">
        <v>698</v>
      </c>
      <c r="J92" s="1">
        <f t="shared" si="5"/>
        <v>1</v>
      </c>
      <c r="L92" s="1" t="s">
        <v>723</v>
      </c>
      <c r="M92" s="7">
        <v>87</v>
      </c>
      <c r="N92" s="5" t="s">
        <v>351</v>
      </c>
      <c r="O92" s="3" t="s">
        <v>352</v>
      </c>
      <c r="P92" s="3" t="s">
        <v>14</v>
      </c>
      <c r="Q92" s="3">
        <v>2</v>
      </c>
      <c r="R92" s="43">
        <f>VLOOKUP('64'!O92,Malzemeler!C:D,2,0)</f>
        <v>2.98</v>
      </c>
      <c r="S92" s="43">
        <f t="shared" si="6"/>
        <v>5.96</v>
      </c>
    </row>
    <row r="93" spans="1:19" x14ac:dyDescent="0.35">
      <c r="A93" s="104"/>
      <c r="B93" s="1">
        <v>64</v>
      </c>
      <c r="C93" s="1" t="s">
        <v>698</v>
      </c>
      <c r="D93" s="1" t="s">
        <v>698</v>
      </c>
      <c r="E93" s="1" t="s">
        <v>698</v>
      </c>
      <c r="F93" s="1" t="s">
        <v>698</v>
      </c>
      <c r="G93" s="1" t="s">
        <v>698</v>
      </c>
      <c r="H93" s="1" t="s">
        <v>698</v>
      </c>
      <c r="I93" s="1" t="s">
        <v>698</v>
      </c>
      <c r="J93" s="1">
        <f t="shared" si="5"/>
        <v>1</v>
      </c>
      <c r="L93" s="1" t="s">
        <v>723</v>
      </c>
      <c r="M93" s="7">
        <v>88</v>
      </c>
      <c r="N93" s="5" t="s">
        <v>648</v>
      </c>
      <c r="O93" s="3" t="s">
        <v>648</v>
      </c>
      <c r="P93" s="3" t="s">
        <v>14</v>
      </c>
      <c r="Q93" s="3">
        <v>20</v>
      </c>
      <c r="R93" s="43">
        <f>VLOOKUP('64'!O93,Malzemeler!C:D,2,0)</f>
        <v>0</v>
      </c>
      <c r="S93" s="43">
        <f t="shared" si="6"/>
        <v>0</v>
      </c>
    </row>
    <row r="94" spans="1:19" x14ac:dyDescent="0.35">
      <c r="A94" s="104"/>
      <c r="B94" s="1">
        <v>64</v>
      </c>
      <c r="C94" s="1" t="s">
        <v>698</v>
      </c>
      <c r="D94" s="1" t="s">
        <v>698</v>
      </c>
      <c r="E94" s="1" t="s">
        <v>698</v>
      </c>
      <c r="F94" s="1" t="s">
        <v>698</v>
      </c>
      <c r="G94" s="1" t="s">
        <v>698</v>
      </c>
      <c r="H94" s="1" t="s">
        <v>698</v>
      </c>
      <c r="I94" s="1" t="s">
        <v>698</v>
      </c>
      <c r="J94" s="1">
        <f t="shared" si="5"/>
        <v>1</v>
      </c>
      <c r="L94" s="1" t="s">
        <v>723</v>
      </c>
      <c r="M94" s="7">
        <v>89</v>
      </c>
      <c r="N94" s="5" t="s">
        <v>649</v>
      </c>
      <c r="O94" s="3" t="s">
        <v>649</v>
      </c>
      <c r="P94" s="3" t="s">
        <v>14</v>
      </c>
      <c r="Q94" s="3">
        <v>8</v>
      </c>
      <c r="R94" s="43">
        <f>VLOOKUP('64'!O94,Malzemeler!C:D,2,0)</f>
        <v>0</v>
      </c>
      <c r="S94" s="43">
        <f t="shared" si="6"/>
        <v>0</v>
      </c>
    </row>
    <row r="95" spans="1:19" x14ac:dyDescent="0.35">
      <c r="A95" s="104"/>
      <c r="B95" s="1">
        <v>64</v>
      </c>
      <c r="C95" s="1" t="s">
        <v>698</v>
      </c>
      <c r="D95" s="1" t="s">
        <v>698</v>
      </c>
      <c r="E95" s="1" t="s">
        <v>698</v>
      </c>
      <c r="F95" s="1" t="s">
        <v>698</v>
      </c>
      <c r="G95" s="1" t="s">
        <v>698</v>
      </c>
      <c r="H95" s="1" t="s">
        <v>698</v>
      </c>
      <c r="I95" s="1" t="s">
        <v>698</v>
      </c>
      <c r="J95" s="1">
        <f t="shared" ref="J95" si="7">SUBTOTAL(103,B95)</f>
        <v>1</v>
      </c>
      <c r="L95" s="1" t="s">
        <v>723</v>
      </c>
      <c r="M95" s="7">
        <v>90</v>
      </c>
      <c r="N95" s="5" t="s">
        <v>731</v>
      </c>
      <c r="O95" s="3" t="s">
        <v>732</v>
      </c>
      <c r="P95" s="3" t="s">
        <v>14</v>
      </c>
      <c r="Q95" s="3">
        <v>111.4</v>
      </c>
      <c r="R95" s="43">
        <f>VLOOKUP('64'!O95,Malzemeler!C:D,2,0)</f>
        <v>0</v>
      </c>
      <c r="S95" s="43">
        <f t="shared" si="6"/>
        <v>0</v>
      </c>
    </row>
    <row r="96" spans="1:19" ht="15" customHeight="1" x14ac:dyDescent="0.35">
      <c r="A96" s="104" t="s">
        <v>722</v>
      </c>
      <c r="B96" s="1">
        <v>64</v>
      </c>
      <c r="C96" s="1" t="s">
        <v>698</v>
      </c>
      <c r="D96" s="1" t="s">
        <v>698</v>
      </c>
      <c r="E96" s="1" t="s">
        <v>698</v>
      </c>
      <c r="F96" s="1" t="s">
        <v>698</v>
      </c>
      <c r="G96" s="1" t="s">
        <v>698</v>
      </c>
      <c r="H96" s="1" t="s">
        <v>698</v>
      </c>
      <c r="I96" s="1" t="s">
        <v>698</v>
      </c>
      <c r="J96" s="1">
        <f t="shared" si="0"/>
        <v>1</v>
      </c>
      <c r="L96" s="1" t="s">
        <v>722</v>
      </c>
      <c r="M96" s="7">
        <v>1</v>
      </c>
      <c r="N96" s="5" t="s">
        <v>27</v>
      </c>
      <c r="O96" s="3" t="s">
        <v>28</v>
      </c>
      <c r="P96" s="3" t="s">
        <v>14</v>
      </c>
      <c r="Q96" s="3">
        <v>1</v>
      </c>
      <c r="R96" s="43">
        <f>VLOOKUP('64'!O96,Malzemeler!C:D,2,0)</f>
        <v>4.76</v>
      </c>
      <c r="S96" s="43">
        <f t="shared" si="6"/>
        <v>4.76</v>
      </c>
    </row>
    <row r="97" spans="1:19" x14ac:dyDescent="0.35">
      <c r="A97" s="104"/>
      <c r="B97" s="1">
        <v>64</v>
      </c>
      <c r="C97" s="1" t="s">
        <v>698</v>
      </c>
      <c r="D97" s="1" t="s">
        <v>698</v>
      </c>
      <c r="E97" s="1" t="s">
        <v>698</v>
      </c>
      <c r="F97" s="1" t="s">
        <v>698</v>
      </c>
      <c r="G97" s="1" t="s">
        <v>698</v>
      </c>
      <c r="H97" s="1" t="s">
        <v>698</v>
      </c>
      <c r="I97" s="1" t="s">
        <v>698</v>
      </c>
      <c r="J97" s="1">
        <f t="shared" si="0"/>
        <v>1</v>
      </c>
      <c r="L97" s="1" t="s">
        <v>722</v>
      </c>
      <c r="M97" s="7">
        <v>2</v>
      </c>
      <c r="N97" s="5" t="s">
        <v>29</v>
      </c>
      <c r="O97" s="3" t="s">
        <v>30</v>
      </c>
      <c r="P97" s="3" t="s">
        <v>14</v>
      </c>
      <c r="Q97" s="3">
        <v>1</v>
      </c>
      <c r="R97" s="43">
        <f>VLOOKUP('64'!O97,Malzemeler!C:D,2,0)</f>
        <v>4.76</v>
      </c>
      <c r="S97" s="43">
        <f t="shared" si="6"/>
        <v>4.76</v>
      </c>
    </row>
    <row r="98" spans="1:19" x14ac:dyDescent="0.35">
      <c r="A98" s="104"/>
      <c r="B98" s="1">
        <v>64</v>
      </c>
      <c r="C98" s="1" t="s">
        <v>698</v>
      </c>
      <c r="D98" s="1" t="s">
        <v>698</v>
      </c>
      <c r="E98" s="1" t="s">
        <v>698</v>
      </c>
      <c r="F98" s="1" t="s">
        <v>698</v>
      </c>
      <c r="G98" s="1" t="s">
        <v>698</v>
      </c>
      <c r="H98" s="1" t="s">
        <v>698</v>
      </c>
      <c r="I98" s="1" t="s">
        <v>698</v>
      </c>
      <c r="J98" s="1">
        <f t="shared" si="0"/>
        <v>1</v>
      </c>
      <c r="L98" s="1" t="s">
        <v>722</v>
      </c>
      <c r="M98" s="7">
        <v>3</v>
      </c>
      <c r="N98" s="5" t="s">
        <v>415</v>
      </c>
      <c r="O98" s="3" t="s">
        <v>545</v>
      </c>
      <c r="P98" s="3" t="s">
        <v>14</v>
      </c>
      <c r="Q98" s="3">
        <v>1</v>
      </c>
      <c r="R98" s="43">
        <f>VLOOKUP('64'!O98,Malzemeler!C:D,2,0)</f>
        <v>0</v>
      </c>
      <c r="S98" s="43">
        <f t="shared" si="6"/>
        <v>0</v>
      </c>
    </row>
    <row r="99" spans="1:19" x14ac:dyDescent="0.35">
      <c r="A99" s="104"/>
      <c r="B99" s="1">
        <v>64</v>
      </c>
      <c r="C99" s="1" t="s">
        <v>698</v>
      </c>
      <c r="D99" s="1" t="s">
        <v>698</v>
      </c>
      <c r="E99" s="1" t="s">
        <v>698</v>
      </c>
      <c r="F99" s="1" t="s">
        <v>698</v>
      </c>
      <c r="G99" s="1" t="s">
        <v>698</v>
      </c>
      <c r="H99" s="1" t="s">
        <v>698</v>
      </c>
      <c r="I99" s="1" t="s">
        <v>698</v>
      </c>
      <c r="J99" s="1">
        <f t="shared" si="0"/>
        <v>1</v>
      </c>
      <c r="L99" s="1" t="s">
        <v>722</v>
      </c>
      <c r="M99" s="7">
        <v>4</v>
      </c>
      <c r="N99" s="5" t="s">
        <v>389</v>
      </c>
      <c r="O99" s="3" t="s">
        <v>544</v>
      </c>
      <c r="P99" s="3" t="s">
        <v>14</v>
      </c>
      <c r="Q99" s="3">
        <v>1</v>
      </c>
      <c r="R99" s="43">
        <f>VLOOKUP('64'!O99,Malzemeler!C:D,2,0)</f>
        <v>81.650000000000006</v>
      </c>
      <c r="S99" s="43">
        <f t="shared" si="6"/>
        <v>81.650000000000006</v>
      </c>
    </row>
    <row r="100" spans="1:19" x14ac:dyDescent="0.35">
      <c r="A100" s="104"/>
      <c r="B100" s="1">
        <v>64</v>
      </c>
      <c r="C100" s="1" t="s">
        <v>698</v>
      </c>
      <c r="D100" s="1" t="s">
        <v>698</v>
      </c>
      <c r="E100" s="1" t="s">
        <v>698</v>
      </c>
      <c r="F100" s="1" t="s">
        <v>698</v>
      </c>
      <c r="G100" s="1" t="s">
        <v>698</v>
      </c>
      <c r="H100" s="1" t="s">
        <v>698</v>
      </c>
      <c r="I100" s="1" t="s">
        <v>698</v>
      </c>
      <c r="J100" s="1">
        <f t="shared" si="0"/>
        <v>1</v>
      </c>
      <c r="L100" s="1" t="s">
        <v>722</v>
      </c>
      <c r="M100" s="7">
        <v>5</v>
      </c>
      <c r="N100" s="5" t="s">
        <v>49</v>
      </c>
      <c r="O100" s="3" t="s">
        <v>50</v>
      </c>
      <c r="P100" s="3" t="s">
        <v>14</v>
      </c>
      <c r="Q100" s="3">
        <v>1</v>
      </c>
      <c r="R100" s="43">
        <f>VLOOKUP('64'!O100,Malzemeler!C:D,2,0)</f>
        <v>46.47</v>
      </c>
      <c r="S100" s="43">
        <f t="shared" si="6"/>
        <v>46.47</v>
      </c>
    </row>
    <row r="101" spans="1:19" x14ac:dyDescent="0.35">
      <c r="A101" s="104"/>
      <c r="B101" s="1">
        <v>64</v>
      </c>
      <c r="C101" s="1" t="s">
        <v>698</v>
      </c>
      <c r="D101" s="1" t="s">
        <v>698</v>
      </c>
      <c r="E101" s="1" t="s">
        <v>698</v>
      </c>
      <c r="F101" s="1" t="s">
        <v>698</v>
      </c>
      <c r="G101" s="1" t="s">
        <v>698</v>
      </c>
      <c r="H101" s="1" t="s">
        <v>698</v>
      </c>
      <c r="I101" s="1" t="s">
        <v>698</v>
      </c>
      <c r="J101" s="1">
        <f t="shared" si="0"/>
        <v>1</v>
      </c>
      <c r="L101" s="1" t="s">
        <v>722</v>
      </c>
      <c r="M101" s="7">
        <v>6</v>
      </c>
      <c r="N101" s="5" t="s">
        <v>51</v>
      </c>
      <c r="O101" s="3" t="s">
        <v>52</v>
      </c>
      <c r="P101" s="3" t="s">
        <v>14</v>
      </c>
      <c r="Q101" s="3">
        <v>1</v>
      </c>
      <c r="R101" s="43">
        <f>VLOOKUP('64'!O101,Malzemeler!C:D,2,0)</f>
        <v>74.48</v>
      </c>
      <c r="S101" s="43">
        <f t="shared" si="6"/>
        <v>74.48</v>
      </c>
    </row>
    <row r="102" spans="1:19" x14ac:dyDescent="0.35">
      <c r="A102" s="104"/>
      <c r="B102" s="1">
        <v>64</v>
      </c>
      <c r="C102" s="1" t="s">
        <v>698</v>
      </c>
      <c r="D102" s="1" t="s">
        <v>698</v>
      </c>
      <c r="E102" s="1" t="s">
        <v>698</v>
      </c>
      <c r="F102" s="1" t="s">
        <v>698</v>
      </c>
      <c r="G102" s="1" t="s">
        <v>698</v>
      </c>
      <c r="H102" s="1" t="s">
        <v>698</v>
      </c>
      <c r="I102" s="1" t="s">
        <v>698</v>
      </c>
      <c r="J102" s="1">
        <f t="shared" si="0"/>
        <v>1</v>
      </c>
      <c r="L102" s="1" t="s">
        <v>722</v>
      </c>
      <c r="M102" s="7">
        <v>7</v>
      </c>
      <c r="N102" s="5" t="s">
        <v>31</v>
      </c>
      <c r="O102" s="3" t="s">
        <v>32</v>
      </c>
      <c r="P102" s="3" t="s">
        <v>14</v>
      </c>
      <c r="Q102" s="3">
        <v>1</v>
      </c>
      <c r="R102" s="43">
        <f>VLOOKUP('64'!O102,Malzemeler!C:D,2,0)</f>
        <v>675.52</v>
      </c>
      <c r="S102" s="43">
        <f t="shared" si="6"/>
        <v>675.52</v>
      </c>
    </row>
    <row r="103" spans="1:19" x14ac:dyDescent="0.35">
      <c r="A103" s="104"/>
      <c r="B103" s="1">
        <v>64</v>
      </c>
      <c r="C103" s="1" t="s">
        <v>698</v>
      </c>
      <c r="D103" s="1" t="s">
        <v>698</v>
      </c>
      <c r="E103" s="1" t="s">
        <v>698</v>
      </c>
      <c r="F103" s="1" t="s">
        <v>698</v>
      </c>
      <c r="G103" s="1" t="s">
        <v>698</v>
      </c>
      <c r="H103" s="1" t="s">
        <v>698</v>
      </c>
      <c r="I103" s="1" t="s">
        <v>698</v>
      </c>
      <c r="J103" s="1">
        <f t="shared" si="0"/>
        <v>1</v>
      </c>
      <c r="L103" s="1" t="s">
        <v>722</v>
      </c>
      <c r="M103" s="7">
        <v>8</v>
      </c>
      <c r="N103" s="5" t="s">
        <v>33</v>
      </c>
      <c r="O103" s="3" t="s">
        <v>34</v>
      </c>
      <c r="P103" s="3" t="s">
        <v>14</v>
      </c>
      <c r="Q103" s="3">
        <v>1</v>
      </c>
      <c r="R103" s="43">
        <f>VLOOKUP('64'!O103,Malzemeler!C:D,2,0)</f>
        <v>23.17</v>
      </c>
      <c r="S103" s="43">
        <f t="shared" si="6"/>
        <v>23.17</v>
      </c>
    </row>
    <row r="104" spans="1:19" x14ac:dyDescent="0.35">
      <c r="A104" s="104"/>
      <c r="B104" s="1">
        <v>64</v>
      </c>
      <c r="C104" s="1" t="s">
        <v>698</v>
      </c>
      <c r="D104" s="1" t="s">
        <v>698</v>
      </c>
      <c r="E104" s="1" t="s">
        <v>698</v>
      </c>
      <c r="F104" s="1" t="s">
        <v>698</v>
      </c>
      <c r="G104" s="1" t="s">
        <v>698</v>
      </c>
      <c r="H104" s="1" t="s">
        <v>698</v>
      </c>
      <c r="I104" s="1" t="s">
        <v>698</v>
      </c>
      <c r="J104" s="1">
        <f t="shared" si="0"/>
        <v>1</v>
      </c>
      <c r="L104" s="1" t="s">
        <v>722</v>
      </c>
      <c r="M104" s="7">
        <v>9</v>
      </c>
      <c r="N104" s="1" t="s">
        <v>35</v>
      </c>
      <c r="O104" s="3" t="s">
        <v>36</v>
      </c>
      <c r="P104" s="3" t="s">
        <v>14</v>
      </c>
      <c r="Q104" s="3">
        <v>1</v>
      </c>
      <c r="R104" s="43">
        <f>VLOOKUP('64'!O104,Malzemeler!C:D,2,0)</f>
        <v>130.16</v>
      </c>
      <c r="S104" s="43">
        <f t="shared" si="6"/>
        <v>130.16</v>
      </c>
    </row>
    <row r="105" spans="1:19" x14ac:dyDescent="0.35">
      <c r="A105" s="104"/>
      <c r="B105" s="1">
        <v>64</v>
      </c>
      <c r="C105" s="1" t="s">
        <v>698</v>
      </c>
      <c r="D105" s="1" t="s">
        <v>698</v>
      </c>
      <c r="E105" s="1" t="s">
        <v>698</v>
      </c>
      <c r="F105" s="1" t="s">
        <v>698</v>
      </c>
      <c r="G105" s="1" t="s">
        <v>698</v>
      </c>
      <c r="H105" s="1" t="s">
        <v>698</v>
      </c>
      <c r="I105" s="1" t="s">
        <v>698</v>
      </c>
      <c r="J105" s="1">
        <f t="shared" si="0"/>
        <v>1</v>
      </c>
      <c r="L105" s="1" t="s">
        <v>722</v>
      </c>
      <c r="M105" s="7">
        <v>10</v>
      </c>
      <c r="N105" s="5" t="s">
        <v>37</v>
      </c>
      <c r="O105" s="3" t="s">
        <v>38</v>
      </c>
      <c r="P105" s="3" t="s">
        <v>14</v>
      </c>
      <c r="Q105" s="3">
        <v>1</v>
      </c>
      <c r="R105" s="43">
        <f>VLOOKUP('64'!O105,Malzemeler!C:D,2,0)</f>
        <v>130.16</v>
      </c>
      <c r="S105" s="43">
        <f t="shared" si="6"/>
        <v>130.16</v>
      </c>
    </row>
    <row r="106" spans="1:19" x14ac:dyDescent="0.35">
      <c r="A106" s="104"/>
      <c r="B106" s="1">
        <v>64</v>
      </c>
      <c r="C106" s="1" t="s">
        <v>698</v>
      </c>
      <c r="D106" s="1" t="s">
        <v>698</v>
      </c>
      <c r="E106" s="1" t="s">
        <v>698</v>
      </c>
      <c r="F106" s="1" t="s">
        <v>698</v>
      </c>
      <c r="G106" s="1" t="s">
        <v>698</v>
      </c>
      <c r="H106" s="1" t="s">
        <v>698</v>
      </c>
      <c r="I106" s="1" t="s">
        <v>698</v>
      </c>
      <c r="J106" s="1">
        <f t="shared" si="0"/>
        <v>1</v>
      </c>
      <c r="L106" s="1" t="s">
        <v>722</v>
      </c>
      <c r="M106" s="7">
        <v>11</v>
      </c>
      <c r="N106" s="5" t="s">
        <v>39</v>
      </c>
      <c r="O106" s="3" t="s">
        <v>40</v>
      </c>
      <c r="P106" s="3" t="s">
        <v>14</v>
      </c>
      <c r="Q106" s="3">
        <v>2</v>
      </c>
      <c r="R106" s="43">
        <f>VLOOKUP('64'!O106,Malzemeler!C:D,2,0)</f>
        <v>4.7300000000000004</v>
      </c>
      <c r="S106" s="43">
        <f t="shared" si="6"/>
        <v>9.4600000000000009</v>
      </c>
    </row>
    <row r="107" spans="1:19" x14ac:dyDescent="0.35">
      <c r="A107" s="104"/>
      <c r="B107" s="1">
        <v>64</v>
      </c>
      <c r="C107" s="1" t="s">
        <v>698</v>
      </c>
      <c r="D107" s="1" t="s">
        <v>698</v>
      </c>
      <c r="E107" s="1" t="s">
        <v>698</v>
      </c>
      <c r="F107" s="1" t="s">
        <v>698</v>
      </c>
      <c r="G107" s="1" t="s">
        <v>698</v>
      </c>
      <c r="H107" s="1" t="s">
        <v>698</v>
      </c>
      <c r="I107" s="1" t="s">
        <v>698</v>
      </c>
      <c r="J107" s="1">
        <f t="shared" si="0"/>
        <v>1</v>
      </c>
      <c r="L107" s="1" t="s">
        <v>722</v>
      </c>
      <c r="M107" s="7">
        <v>12</v>
      </c>
      <c r="N107" s="5" t="s">
        <v>41</v>
      </c>
      <c r="O107" s="3" t="s">
        <v>42</v>
      </c>
      <c r="P107" s="3" t="s">
        <v>14</v>
      </c>
      <c r="Q107" s="3">
        <v>2</v>
      </c>
      <c r="R107" s="43">
        <f>VLOOKUP('64'!O107,Malzemeler!C:D,2,0)</f>
        <v>155.05000000000001</v>
      </c>
      <c r="S107" s="43">
        <f t="shared" si="6"/>
        <v>310.10000000000002</v>
      </c>
    </row>
    <row r="108" spans="1:19" x14ac:dyDescent="0.35">
      <c r="A108" s="104"/>
      <c r="B108" s="1">
        <v>64</v>
      </c>
      <c r="C108" s="1" t="s">
        <v>698</v>
      </c>
      <c r="D108" s="1" t="s">
        <v>698</v>
      </c>
      <c r="E108" s="1" t="s">
        <v>698</v>
      </c>
      <c r="F108" s="1" t="s">
        <v>698</v>
      </c>
      <c r="G108" s="1" t="s">
        <v>698</v>
      </c>
      <c r="H108" s="1" t="s">
        <v>698</v>
      </c>
      <c r="I108" s="1" t="s">
        <v>698</v>
      </c>
      <c r="J108" s="1">
        <f t="shared" si="0"/>
        <v>1</v>
      </c>
      <c r="L108" s="1" t="s">
        <v>722</v>
      </c>
      <c r="M108" s="7">
        <v>13</v>
      </c>
      <c r="N108" s="5" t="s">
        <v>43</v>
      </c>
      <c r="O108" s="3" t="s">
        <v>44</v>
      </c>
      <c r="P108" s="3" t="s">
        <v>14</v>
      </c>
      <c r="Q108" s="3">
        <v>1</v>
      </c>
      <c r="R108" s="43">
        <f>VLOOKUP('64'!O108,Malzemeler!C:D,2,0)</f>
        <v>238.61</v>
      </c>
      <c r="S108" s="43">
        <f t="shared" si="6"/>
        <v>238.61</v>
      </c>
    </row>
    <row r="109" spans="1:19" x14ac:dyDescent="0.35">
      <c r="A109" s="104"/>
      <c r="B109" s="1">
        <v>64</v>
      </c>
      <c r="C109" s="1" t="s">
        <v>698</v>
      </c>
      <c r="D109" s="1" t="s">
        <v>698</v>
      </c>
      <c r="E109" s="1" t="s">
        <v>698</v>
      </c>
      <c r="F109" s="1" t="s">
        <v>698</v>
      </c>
      <c r="G109" s="1" t="s">
        <v>698</v>
      </c>
      <c r="H109" s="1" t="s">
        <v>698</v>
      </c>
      <c r="I109" s="1" t="s">
        <v>698</v>
      </c>
      <c r="J109" s="1">
        <f t="shared" si="0"/>
        <v>1</v>
      </c>
      <c r="L109" s="1" t="s">
        <v>722</v>
      </c>
      <c r="M109" s="7">
        <v>14</v>
      </c>
      <c r="N109" s="5" t="s">
        <v>45</v>
      </c>
      <c r="O109" s="3" t="s">
        <v>46</v>
      </c>
      <c r="P109" s="3" t="s">
        <v>14</v>
      </c>
      <c r="Q109" s="3">
        <v>1</v>
      </c>
      <c r="R109" s="43">
        <f>VLOOKUP('64'!O109,Malzemeler!C:D,2,0)</f>
        <v>10.84</v>
      </c>
      <c r="S109" s="43">
        <f t="shared" si="6"/>
        <v>10.84</v>
      </c>
    </row>
    <row r="110" spans="1:19" x14ac:dyDescent="0.35">
      <c r="A110" s="104"/>
      <c r="B110" s="1">
        <v>64</v>
      </c>
      <c r="C110" s="1" t="s">
        <v>698</v>
      </c>
      <c r="D110" s="1" t="s">
        <v>698</v>
      </c>
      <c r="E110" s="1" t="s">
        <v>698</v>
      </c>
      <c r="F110" s="1" t="s">
        <v>698</v>
      </c>
      <c r="G110" s="1" t="s">
        <v>698</v>
      </c>
      <c r="H110" s="1" t="s">
        <v>698</v>
      </c>
      <c r="I110" s="1" t="s">
        <v>698</v>
      </c>
      <c r="J110" s="1">
        <f t="shared" si="0"/>
        <v>1</v>
      </c>
      <c r="L110" s="1" t="s">
        <v>722</v>
      </c>
      <c r="M110" s="7">
        <v>15</v>
      </c>
      <c r="N110" s="5" t="s">
        <v>47</v>
      </c>
      <c r="O110" s="3" t="s">
        <v>48</v>
      </c>
      <c r="P110" s="3" t="s">
        <v>14</v>
      </c>
      <c r="Q110" s="3">
        <v>1</v>
      </c>
      <c r="R110" s="43">
        <f>VLOOKUP('64'!O110,Malzemeler!C:D,2,0)</f>
        <v>22.83</v>
      </c>
      <c r="S110" s="43">
        <f t="shared" si="6"/>
        <v>22.83</v>
      </c>
    </row>
    <row r="111" spans="1:19" x14ac:dyDescent="0.35">
      <c r="A111" s="104"/>
      <c r="B111" s="1">
        <v>64</v>
      </c>
      <c r="C111" s="1" t="s">
        <v>698</v>
      </c>
      <c r="D111" s="1" t="s">
        <v>698</v>
      </c>
      <c r="E111" s="1" t="s">
        <v>698</v>
      </c>
      <c r="F111" s="1" t="s">
        <v>698</v>
      </c>
      <c r="G111" s="1" t="s">
        <v>698</v>
      </c>
      <c r="H111" s="1" t="s">
        <v>698</v>
      </c>
      <c r="I111" s="1" t="s">
        <v>698</v>
      </c>
      <c r="J111" s="1">
        <f t="shared" si="0"/>
        <v>1</v>
      </c>
      <c r="L111" s="1" t="s">
        <v>722</v>
      </c>
      <c r="M111" s="7">
        <v>16</v>
      </c>
      <c r="N111" s="5" t="s">
        <v>593</v>
      </c>
      <c r="O111" s="3" t="s">
        <v>592</v>
      </c>
      <c r="P111" s="3" t="s">
        <v>14</v>
      </c>
      <c r="Q111" s="3">
        <v>1</v>
      </c>
      <c r="R111" s="43">
        <f>VLOOKUP('64'!O111,Malzemeler!C:D,2,0)</f>
        <v>0</v>
      </c>
      <c r="S111" s="43">
        <f t="shared" si="6"/>
        <v>0</v>
      </c>
    </row>
    <row r="112" spans="1:19" x14ac:dyDescent="0.35">
      <c r="A112" s="104"/>
      <c r="B112" s="1">
        <v>64</v>
      </c>
      <c r="C112" s="1" t="s">
        <v>698</v>
      </c>
      <c r="D112" s="1" t="s">
        <v>698</v>
      </c>
      <c r="E112" s="1" t="s">
        <v>698</v>
      </c>
      <c r="F112" s="1" t="s">
        <v>698</v>
      </c>
      <c r="G112" s="1" t="s">
        <v>698</v>
      </c>
      <c r="H112" s="1" t="s">
        <v>698</v>
      </c>
      <c r="I112" s="1" t="s">
        <v>698</v>
      </c>
      <c r="J112" s="1">
        <f t="shared" si="0"/>
        <v>1</v>
      </c>
      <c r="L112" s="1" t="s">
        <v>722</v>
      </c>
      <c r="M112" s="7">
        <v>17</v>
      </c>
      <c r="N112" s="5" t="s">
        <v>594</v>
      </c>
      <c r="O112" s="3" t="s">
        <v>595</v>
      </c>
      <c r="P112" s="3" t="s">
        <v>14</v>
      </c>
      <c r="Q112" s="3">
        <v>1</v>
      </c>
      <c r="R112" s="43">
        <f>VLOOKUP('64'!O112,Malzemeler!C:D,2,0)</f>
        <v>0</v>
      </c>
      <c r="S112" s="43">
        <f t="shared" si="6"/>
        <v>0</v>
      </c>
    </row>
    <row r="113" spans="1:20" x14ac:dyDescent="0.35">
      <c r="A113" s="104"/>
      <c r="B113" s="1">
        <v>64</v>
      </c>
      <c r="C113" s="1" t="s">
        <v>698</v>
      </c>
      <c r="D113" s="1" t="s">
        <v>698</v>
      </c>
      <c r="E113" s="1" t="s">
        <v>698</v>
      </c>
      <c r="F113" s="1" t="s">
        <v>698</v>
      </c>
      <c r="G113" s="1" t="s">
        <v>698</v>
      </c>
      <c r="H113" s="1" t="s">
        <v>698</v>
      </c>
      <c r="I113" s="1" t="s">
        <v>698</v>
      </c>
      <c r="J113" s="1">
        <f t="shared" si="0"/>
        <v>1</v>
      </c>
      <c r="L113" s="1" t="s">
        <v>722</v>
      </c>
      <c r="M113" s="7">
        <v>18</v>
      </c>
      <c r="N113" s="5" t="s">
        <v>632</v>
      </c>
      <c r="O113" s="3" t="s">
        <v>650</v>
      </c>
      <c r="P113" s="3" t="s">
        <v>14</v>
      </c>
      <c r="Q113" s="3">
        <v>1</v>
      </c>
      <c r="R113" s="43">
        <f>VLOOKUP('64'!O113,Malzemeler!C:D,2,0)</f>
        <v>0</v>
      </c>
      <c r="S113" s="43">
        <f t="shared" si="6"/>
        <v>0</v>
      </c>
    </row>
    <row r="114" spans="1:20" x14ac:dyDescent="0.35">
      <c r="A114" s="104"/>
      <c r="B114" s="1">
        <v>64</v>
      </c>
      <c r="C114" s="1" t="s">
        <v>698</v>
      </c>
      <c r="D114" s="1" t="s">
        <v>698</v>
      </c>
      <c r="E114" s="1" t="s">
        <v>698</v>
      </c>
      <c r="F114" s="1" t="s">
        <v>698</v>
      </c>
      <c r="G114" s="1" t="s">
        <v>698</v>
      </c>
      <c r="H114" s="1" t="s">
        <v>698</v>
      </c>
      <c r="I114" s="1" t="s">
        <v>698</v>
      </c>
      <c r="J114" s="1">
        <f t="shared" si="0"/>
        <v>1</v>
      </c>
      <c r="L114" s="1" t="s">
        <v>722</v>
      </c>
      <c r="M114" s="7">
        <v>19</v>
      </c>
      <c r="N114" s="5" t="s">
        <v>598</v>
      </c>
      <c r="O114" s="3" t="s">
        <v>597</v>
      </c>
      <c r="P114" s="3" t="s">
        <v>14</v>
      </c>
      <c r="Q114" s="3">
        <v>1</v>
      </c>
      <c r="R114" s="43">
        <f>VLOOKUP('64'!O114,Malzemeler!C:D,2,0)</f>
        <v>0</v>
      </c>
      <c r="S114" s="43">
        <f t="shared" si="6"/>
        <v>0</v>
      </c>
    </row>
    <row r="115" spans="1:20" x14ac:dyDescent="0.35">
      <c r="A115" s="104"/>
      <c r="B115" s="1">
        <v>64</v>
      </c>
      <c r="C115" s="1" t="s">
        <v>698</v>
      </c>
      <c r="D115" s="1" t="s">
        <v>698</v>
      </c>
      <c r="E115" s="1" t="s">
        <v>698</v>
      </c>
      <c r="F115" s="1" t="s">
        <v>698</v>
      </c>
      <c r="G115" s="1" t="s">
        <v>698</v>
      </c>
      <c r="H115" s="1" t="s">
        <v>698</v>
      </c>
      <c r="I115" s="1" t="s">
        <v>698</v>
      </c>
      <c r="J115" s="1">
        <f t="shared" si="0"/>
        <v>1</v>
      </c>
      <c r="L115" s="1" t="s">
        <v>722</v>
      </c>
      <c r="M115" s="7">
        <v>20</v>
      </c>
      <c r="N115" s="5" t="s">
        <v>631</v>
      </c>
      <c r="O115" s="3" t="s">
        <v>630</v>
      </c>
      <c r="P115" s="3" t="s">
        <v>14</v>
      </c>
      <c r="Q115" s="3">
        <v>1</v>
      </c>
      <c r="R115" s="43">
        <f>VLOOKUP('64'!O115,Malzemeler!C:D,2,0)</f>
        <v>0</v>
      </c>
      <c r="S115" s="43">
        <f t="shared" si="6"/>
        <v>0</v>
      </c>
    </row>
    <row r="116" spans="1:20" x14ac:dyDescent="0.35">
      <c r="A116" s="104"/>
      <c r="B116" s="1">
        <v>64</v>
      </c>
      <c r="C116" s="1" t="s">
        <v>698</v>
      </c>
      <c r="D116" s="1" t="s">
        <v>698</v>
      </c>
      <c r="E116" s="1" t="s">
        <v>698</v>
      </c>
      <c r="F116" s="1" t="s">
        <v>698</v>
      </c>
      <c r="G116" s="1" t="s">
        <v>698</v>
      </c>
      <c r="H116" s="1" t="s">
        <v>698</v>
      </c>
      <c r="I116" s="1" t="s">
        <v>698</v>
      </c>
      <c r="J116" s="1">
        <f t="shared" si="0"/>
        <v>1</v>
      </c>
      <c r="L116" s="1" t="s">
        <v>722</v>
      </c>
      <c r="M116" s="7">
        <v>21</v>
      </c>
      <c r="N116" s="5" t="s">
        <v>678</v>
      </c>
      <c r="O116" s="3" t="s">
        <v>679</v>
      </c>
      <c r="P116" s="3" t="s">
        <v>14</v>
      </c>
      <c r="Q116" s="3">
        <v>1</v>
      </c>
      <c r="R116" s="43">
        <f>VLOOKUP('64'!O116,Malzemeler!C:D,2,0)</f>
        <v>0</v>
      </c>
      <c r="S116" s="43">
        <f t="shared" si="6"/>
        <v>0</v>
      </c>
    </row>
    <row r="117" spans="1:20" x14ac:dyDescent="0.35">
      <c r="A117" s="104"/>
      <c r="B117" s="1">
        <v>64</v>
      </c>
      <c r="C117" s="1" t="s">
        <v>698</v>
      </c>
      <c r="D117" s="1" t="s">
        <v>698</v>
      </c>
      <c r="E117" s="1" t="s">
        <v>698</v>
      </c>
      <c r="F117" s="1" t="s">
        <v>698</v>
      </c>
      <c r="G117" s="1" t="s">
        <v>698</v>
      </c>
      <c r="H117" s="1" t="s">
        <v>698</v>
      </c>
      <c r="I117" s="1" t="s">
        <v>698</v>
      </c>
      <c r="J117" s="1">
        <f t="shared" si="0"/>
        <v>1</v>
      </c>
      <c r="L117" s="1" t="s">
        <v>722</v>
      </c>
      <c r="M117" s="7">
        <v>22</v>
      </c>
      <c r="N117" s="5" t="s">
        <v>147</v>
      </c>
      <c r="O117" s="3" t="s">
        <v>263</v>
      </c>
      <c r="P117" s="3" t="s">
        <v>14</v>
      </c>
      <c r="Q117" s="3">
        <v>2</v>
      </c>
      <c r="R117" s="43">
        <f>VLOOKUP('64'!O117,Malzemeler!C:D,2,0)</f>
        <v>20</v>
      </c>
      <c r="S117" s="43">
        <f t="shared" si="6"/>
        <v>40</v>
      </c>
      <c r="T117" s="4"/>
    </row>
    <row r="118" spans="1:20" x14ac:dyDescent="0.35">
      <c r="A118" s="104"/>
      <c r="B118" s="1">
        <v>64</v>
      </c>
      <c r="C118" s="1" t="s">
        <v>698</v>
      </c>
      <c r="D118" s="1" t="s">
        <v>698</v>
      </c>
      <c r="E118" s="1" t="s">
        <v>698</v>
      </c>
      <c r="F118" s="1" t="s">
        <v>698</v>
      </c>
      <c r="G118" s="1" t="s">
        <v>698</v>
      </c>
      <c r="H118" s="1" t="s">
        <v>698</v>
      </c>
      <c r="I118" s="1" t="s">
        <v>698</v>
      </c>
      <c r="J118" s="1">
        <f t="shared" si="0"/>
        <v>1</v>
      </c>
      <c r="L118" s="1" t="s">
        <v>722</v>
      </c>
      <c r="M118" s="7">
        <v>23</v>
      </c>
      <c r="N118" s="5" t="s">
        <v>299</v>
      </c>
      <c r="O118" s="3" t="s">
        <v>300</v>
      </c>
      <c r="P118" s="3" t="s">
        <v>14</v>
      </c>
      <c r="Q118" s="3">
        <v>1</v>
      </c>
      <c r="R118" s="43">
        <f>VLOOKUP('64'!O118,Malzemeler!C:D,2,0)</f>
        <v>96.69</v>
      </c>
      <c r="S118" s="43">
        <f t="shared" si="6"/>
        <v>96.69</v>
      </c>
      <c r="T118" s="8"/>
    </row>
    <row r="119" spans="1:20" x14ac:dyDescent="0.35">
      <c r="A119" s="104"/>
      <c r="B119" s="1">
        <v>64</v>
      </c>
      <c r="C119" s="1" t="s">
        <v>698</v>
      </c>
      <c r="D119" s="1" t="s">
        <v>698</v>
      </c>
      <c r="E119" s="1" t="s">
        <v>698</v>
      </c>
      <c r="F119" s="1" t="s">
        <v>698</v>
      </c>
      <c r="G119" s="1" t="s">
        <v>698</v>
      </c>
      <c r="H119" s="1" t="s">
        <v>698</v>
      </c>
      <c r="I119" s="1" t="s">
        <v>698</v>
      </c>
      <c r="J119" s="1">
        <f t="shared" si="0"/>
        <v>1</v>
      </c>
      <c r="L119" s="1" t="s">
        <v>722</v>
      </c>
      <c r="M119" s="7">
        <v>24</v>
      </c>
      <c r="N119" s="5" t="s">
        <v>219</v>
      </c>
      <c r="O119" s="3" t="s">
        <v>220</v>
      </c>
      <c r="P119" s="3" t="s">
        <v>14</v>
      </c>
      <c r="Q119" s="3">
        <v>1</v>
      </c>
      <c r="R119" s="43">
        <f>VLOOKUP('64'!O119,Malzemeler!C:D,2,0)</f>
        <v>85.4</v>
      </c>
      <c r="S119" s="43">
        <f t="shared" si="6"/>
        <v>85.4</v>
      </c>
      <c r="T119" s="3"/>
    </row>
    <row r="120" spans="1:20" x14ac:dyDescent="0.35">
      <c r="A120" s="104"/>
      <c r="B120" s="1">
        <v>64</v>
      </c>
      <c r="C120" s="1" t="s">
        <v>698</v>
      </c>
      <c r="D120" s="1" t="s">
        <v>698</v>
      </c>
      <c r="E120" s="1" t="s">
        <v>698</v>
      </c>
      <c r="F120" s="1" t="s">
        <v>698</v>
      </c>
      <c r="G120" s="1" t="s">
        <v>698</v>
      </c>
      <c r="H120" s="1" t="s">
        <v>698</v>
      </c>
      <c r="I120" s="1" t="s">
        <v>698</v>
      </c>
      <c r="J120" s="1">
        <f t="shared" si="0"/>
        <v>1</v>
      </c>
      <c r="L120" s="1" t="s">
        <v>722</v>
      </c>
      <c r="M120" s="7">
        <v>25</v>
      </c>
      <c r="N120" s="5" t="s">
        <v>584</v>
      </c>
      <c r="O120" s="3" t="s">
        <v>585</v>
      </c>
      <c r="P120" s="3" t="s">
        <v>14</v>
      </c>
      <c r="Q120" s="3">
        <v>1</v>
      </c>
      <c r="R120" s="43">
        <f>VLOOKUP('64'!O120,Malzemeler!C:D,2,0)</f>
        <v>72.290000000000006</v>
      </c>
      <c r="S120" s="43">
        <f t="shared" si="6"/>
        <v>72.290000000000006</v>
      </c>
      <c r="T120" s="3"/>
    </row>
    <row r="121" spans="1:20" x14ac:dyDescent="0.35">
      <c r="A121" s="104"/>
      <c r="B121" s="1">
        <v>64</v>
      </c>
      <c r="C121" s="1" t="s">
        <v>698</v>
      </c>
      <c r="D121" s="1" t="s">
        <v>698</v>
      </c>
      <c r="E121" s="1" t="s">
        <v>698</v>
      </c>
      <c r="F121" s="1" t="s">
        <v>698</v>
      </c>
      <c r="G121" s="1" t="s">
        <v>698</v>
      </c>
      <c r="H121" s="1" t="s">
        <v>698</v>
      </c>
      <c r="I121" s="1" t="s">
        <v>698</v>
      </c>
      <c r="J121" s="1">
        <f t="shared" si="0"/>
        <v>1</v>
      </c>
      <c r="L121" s="1" t="s">
        <v>722</v>
      </c>
      <c r="M121" s="7">
        <v>26</v>
      </c>
      <c r="N121" s="5" t="s">
        <v>589</v>
      </c>
      <c r="O121" s="3" t="s">
        <v>596</v>
      </c>
      <c r="P121" s="3" t="s">
        <v>14</v>
      </c>
      <c r="Q121" s="3">
        <v>2</v>
      </c>
      <c r="R121" s="43">
        <f>VLOOKUP('64'!O121,Malzemeler!C:D,2,0)</f>
        <v>59.21</v>
      </c>
      <c r="S121" s="43">
        <f t="shared" si="6"/>
        <v>118.42</v>
      </c>
    </row>
    <row r="122" spans="1:20" x14ac:dyDescent="0.35">
      <c r="A122" s="104"/>
      <c r="B122" s="1">
        <v>64</v>
      </c>
      <c r="C122" s="1" t="s">
        <v>698</v>
      </c>
      <c r="D122" s="1" t="s">
        <v>698</v>
      </c>
      <c r="E122" s="1" t="s">
        <v>698</v>
      </c>
      <c r="F122" s="1" t="s">
        <v>698</v>
      </c>
      <c r="G122" s="1" t="s">
        <v>698</v>
      </c>
      <c r="H122" s="1" t="s">
        <v>698</v>
      </c>
      <c r="I122" s="1" t="s">
        <v>698</v>
      </c>
      <c r="J122" s="1">
        <f t="shared" si="0"/>
        <v>1</v>
      </c>
      <c r="L122" s="1" t="s">
        <v>722</v>
      </c>
      <c r="M122" s="7">
        <v>27</v>
      </c>
      <c r="N122" s="5" t="s">
        <v>54</v>
      </c>
      <c r="O122" s="3" t="s">
        <v>57</v>
      </c>
      <c r="P122" s="3" t="s">
        <v>14</v>
      </c>
      <c r="Q122" s="3">
        <v>1</v>
      </c>
      <c r="R122" s="43">
        <f>VLOOKUP('64'!O122,Malzemeler!C:D,2,0)</f>
        <v>77.55</v>
      </c>
      <c r="S122" s="43">
        <f t="shared" si="6"/>
        <v>77.55</v>
      </c>
    </row>
    <row r="123" spans="1:20" x14ac:dyDescent="0.35">
      <c r="A123" s="104"/>
      <c r="B123" s="1">
        <v>64</v>
      </c>
      <c r="C123" s="1" t="s">
        <v>698</v>
      </c>
      <c r="D123" s="1" t="s">
        <v>698</v>
      </c>
      <c r="E123" s="1" t="s">
        <v>698</v>
      </c>
      <c r="F123" s="1" t="s">
        <v>698</v>
      </c>
      <c r="G123" s="1" t="s">
        <v>698</v>
      </c>
      <c r="H123" s="1" t="s">
        <v>698</v>
      </c>
      <c r="I123" s="1" t="s">
        <v>698</v>
      </c>
      <c r="J123" s="1">
        <f t="shared" si="0"/>
        <v>1</v>
      </c>
      <c r="L123" s="1" t="s">
        <v>722</v>
      </c>
      <c r="M123" s="7">
        <v>28</v>
      </c>
      <c r="N123" s="5" t="s">
        <v>418</v>
      </c>
      <c r="O123" s="3" t="s">
        <v>419</v>
      </c>
      <c r="P123" s="3" t="s">
        <v>14</v>
      </c>
      <c r="Q123" s="3">
        <v>1</v>
      </c>
      <c r="R123" s="43">
        <f>VLOOKUP('64'!O123,Malzemeler!C:D,2,0)</f>
        <v>75.900000000000006</v>
      </c>
      <c r="S123" s="43">
        <f t="shared" si="6"/>
        <v>75.900000000000006</v>
      </c>
    </row>
    <row r="124" spans="1:20" x14ac:dyDescent="0.35">
      <c r="A124" s="104"/>
      <c r="B124" s="1">
        <v>64</v>
      </c>
      <c r="C124" s="1" t="s">
        <v>698</v>
      </c>
      <c r="D124" s="1" t="s">
        <v>698</v>
      </c>
      <c r="E124" s="1" t="s">
        <v>698</v>
      </c>
      <c r="F124" s="1" t="s">
        <v>698</v>
      </c>
      <c r="G124" s="1" t="s">
        <v>698</v>
      </c>
      <c r="H124" s="1" t="s">
        <v>698</v>
      </c>
      <c r="I124" s="1" t="s">
        <v>698</v>
      </c>
      <c r="J124" s="1">
        <f t="shared" ref="J124:J125" si="8">SUBTOTAL(103,B124)</f>
        <v>1</v>
      </c>
      <c r="L124" s="1" t="s">
        <v>722</v>
      </c>
      <c r="M124" s="7">
        <v>29</v>
      </c>
      <c r="N124" s="5" t="s">
        <v>687</v>
      </c>
      <c r="O124" s="3" t="s">
        <v>696</v>
      </c>
      <c r="P124" s="3" t="s">
        <v>14</v>
      </c>
      <c r="Q124" s="3">
        <v>1</v>
      </c>
      <c r="R124" s="43">
        <f>VLOOKUP('64'!O124,Malzemeler!C:D,2,0)</f>
        <v>0</v>
      </c>
      <c r="S124" s="43">
        <f t="shared" si="6"/>
        <v>0</v>
      </c>
    </row>
    <row r="125" spans="1:20" x14ac:dyDescent="0.35">
      <c r="A125" s="104"/>
      <c r="B125" s="1">
        <v>64</v>
      </c>
      <c r="C125" s="1" t="s">
        <v>698</v>
      </c>
      <c r="D125" s="1" t="s">
        <v>698</v>
      </c>
      <c r="E125" s="1" t="s">
        <v>698</v>
      </c>
      <c r="F125" s="1" t="s">
        <v>698</v>
      </c>
      <c r="G125" s="1" t="s">
        <v>698</v>
      </c>
      <c r="H125" s="1" t="s">
        <v>698</v>
      </c>
      <c r="I125" s="1" t="s">
        <v>698</v>
      </c>
      <c r="J125" s="1">
        <f t="shared" si="8"/>
        <v>1</v>
      </c>
      <c r="L125" s="1" t="s">
        <v>722</v>
      </c>
      <c r="M125" s="7">
        <v>30</v>
      </c>
      <c r="N125" s="1" t="s">
        <v>628</v>
      </c>
      <c r="O125" s="3" t="s">
        <v>629</v>
      </c>
      <c r="P125" s="3" t="s">
        <v>14</v>
      </c>
      <c r="Q125" s="3">
        <v>1</v>
      </c>
      <c r="R125" s="43">
        <f>VLOOKUP('64'!O125,Malzemeler!C:D,2,0)</f>
        <v>0</v>
      </c>
      <c r="S125" s="43">
        <f t="shared" si="6"/>
        <v>0</v>
      </c>
    </row>
    <row r="126" spans="1:20" x14ac:dyDescent="0.35">
      <c r="A126" s="104"/>
      <c r="B126" s="1">
        <v>64</v>
      </c>
      <c r="C126" s="1" t="s">
        <v>698</v>
      </c>
      <c r="D126" s="1" t="s">
        <v>698</v>
      </c>
      <c r="E126" s="1" t="s">
        <v>698</v>
      </c>
      <c r="F126" s="1" t="s">
        <v>698</v>
      </c>
      <c r="G126" s="1" t="s">
        <v>698</v>
      </c>
      <c r="H126" s="1" t="s">
        <v>698</v>
      </c>
      <c r="I126" s="1" t="s">
        <v>698</v>
      </c>
      <c r="J126" s="1">
        <f t="shared" ref="J126" si="9">SUBTOTAL(103,B126)</f>
        <v>1</v>
      </c>
      <c r="L126" s="1" t="s">
        <v>722</v>
      </c>
      <c r="M126" s="7">
        <v>31</v>
      </c>
      <c r="N126" s="1" t="s">
        <v>730</v>
      </c>
      <c r="O126" s="3" t="s">
        <v>729</v>
      </c>
      <c r="P126" s="3" t="s">
        <v>14</v>
      </c>
      <c r="Q126" s="3">
        <v>47</v>
      </c>
      <c r="R126" s="43">
        <f>VLOOKUP('64'!O126,Malzemeler!C:D,2,0)</f>
        <v>0</v>
      </c>
      <c r="S126" s="43">
        <f t="shared" si="6"/>
        <v>0</v>
      </c>
    </row>
    <row r="127" spans="1:20" x14ac:dyDescent="0.35">
      <c r="A127" s="42"/>
      <c r="B127" s="1">
        <v>64</v>
      </c>
      <c r="C127" s="1" t="s">
        <v>698</v>
      </c>
      <c r="D127" s="1" t="s">
        <v>698</v>
      </c>
      <c r="E127" s="1" t="s">
        <v>698</v>
      </c>
      <c r="F127" s="1" t="s">
        <v>698</v>
      </c>
      <c r="G127" s="1" t="s">
        <v>698</v>
      </c>
      <c r="H127" s="1" t="s">
        <v>698</v>
      </c>
      <c r="I127" s="1" t="s">
        <v>698</v>
      </c>
      <c r="J127" s="1">
        <f t="shared" ref="J127:J130" si="10">SUBTOTAL(103,B127)</f>
        <v>1</v>
      </c>
      <c r="L127" s="1" t="s">
        <v>722</v>
      </c>
      <c r="M127" s="7">
        <v>32</v>
      </c>
      <c r="N127" s="68" t="s">
        <v>750</v>
      </c>
      <c r="O127" s="3" t="s">
        <v>753</v>
      </c>
      <c r="P127" s="3" t="s">
        <v>135</v>
      </c>
      <c r="Q127" s="15">
        <v>30</v>
      </c>
      <c r="R127" s="43">
        <f>VLOOKUP('64'!O127,Malzemeler!C:D,2,0)</f>
        <v>0</v>
      </c>
      <c r="S127" s="43">
        <f t="shared" ref="S127:S130" si="11">+R127*Q127</f>
        <v>0</v>
      </c>
    </row>
    <row r="128" spans="1:20" x14ac:dyDescent="0.35">
      <c r="A128" s="42"/>
      <c r="B128" s="1">
        <v>64</v>
      </c>
      <c r="C128" s="1" t="s">
        <v>698</v>
      </c>
      <c r="D128" s="1" t="s">
        <v>698</v>
      </c>
      <c r="E128" s="1" t="s">
        <v>698</v>
      </c>
      <c r="F128" s="1" t="s">
        <v>698</v>
      </c>
      <c r="G128" s="1" t="s">
        <v>698</v>
      </c>
      <c r="H128" s="1" t="s">
        <v>698</v>
      </c>
      <c r="I128" s="1" t="s">
        <v>698</v>
      </c>
      <c r="J128" s="1">
        <f t="shared" si="10"/>
        <v>1</v>
      </c>
      <c r="L128" s="1" t="s">
        <v>722</v>
      </c>
      <c r="M128" s="7">
        <v>33</v>
      </c>
      <c r="N128" s="68" t="s">
        <v>758</v>
      </c>
      <c r="O128" s="3" t="s">
        <v>759</v>
      </c>
      <c r="P128" s="3" t="s">
        <v>135</v>
      </c>
      <c r="Q128" s="15">
        <v>8</v>
      </c>
      <c r="R128" s="43">
        <f>VLOOKUP('64'!O128,Malzemeler!C:D,2,0)</f>
        <v>0</v>
      </c>
      <c r="S128" s="43">
        <f t="shared" si="11"/>
        <v>0</v>
      </c>
    </row>
    <row r="129" spans="1:19" x14ac:dyDescent="0.35">
      <c r="A129" s="42"/>
      <c r="B129" s="1">
        <v>64</v>
      </c>
      <c r="C129" s="1" t="s">
        <v>698</v>
      </c>
      <c r="D129" s="1" t="s">
        <v>698</v>
      </c>
      <c r="E129" s="1" t="s">
        <v>698</v>
      </c>
      <c r="F129" s="1" t="s">
        <v>698</v>
      </c>
      <c r="G129" s="1" t="s">
        <v>698</v>
      </c>
      <c r="H129" s="1" t="s">
        <v>698</v>
      </c>
      <c r="I129" s="1" t="s">
        <v>698</v>
      </c>
      <c r="J129" s="1">
        <f t="shared" si="10"/>
        <v>1</v>
      </c>
      <c r="L129" s="1" t="s">
        <v>722</v>
      </c>
      <c r="M129" s="7">
        <v>34</v>
      </c>
      <c r="N129" s="68" t="s">
        <v>751</v>
      </c>
      <c r="O129" s="3" t="s">
        <v>754</v>
      </c>
      <c r="P129" s="3" t="s">
        <v>135</v>
      </c>
      <c r="Q129" s="15">
        <v>130</v>
      </c>
      <c r="R129" s="43">
        <f>VLOOKUP('64'!O129,Malzemeler!C:D,2,0)</f>
        <v>0</v>
      </c>
      <c r="S129" s="43">
        <f t="shared" si="11"/>
        <v>0</v>
      </c>
    </row>
    <row r="130" spans="1:19" x14ac:dyDescent="0.35">
      <c r="A130" s="42"/>
      <c r="B130" s="1">
        <v>64</v>
      </c>
      <c r="C130" s="1" t="s">
        <v>698</v>
      </c>
      <c r="D130" s="1" t="s">
        <v>698</v>
      </c>
      <c r="E130" s="1" t="s">
        <v>698</v>
      </c>
      <c r="F130" s="1" t="s">
        <v>698</v>
      </c>
      <c r="G130" s="1" t="s">
        <v>698</v>
      </c>
      <c r="H130" s="1" t="s">
        <v>698</v>
      </c>
      <c r="I130" s="1" t="s">
        <v>698</v>
      </c>
      <c r="J130" s="1">
        <f t="shared" si="10"/>
        <v>1</v>
      </c>
      <c r="L130" s="1" t="s">
        <v>722</v>
      </c>
      <c r="M130" s="7">
        <v>35</v>
      </c>
      <c r="N130" s="68" t="s">
        <v>752</v>
      </c>
      <c r="O130" s="3" t="s">
        <v>755</v>
      </c>
      <c r="P130" s="3" t="s">
        <v>135</v>
      </c>
      <c r="Q130" s="15">
        <v>35</v>
      </c>
      <c r="R130" s="43">
        <f>VLOOKUP('64'!O130,Malzemeler!C:D,2,0)</f>
        <v>0</v>
      </c>
      <c r="S130" s="43">
        <f t="shared" si="11"/>
        <v>0</v>
      </c>
    </row>
    <row r="131" spans="1:19" x14ac:dyDescent="0.35">
      <c r="A131" s="104" t="s">
        <v>719</v>
      </c>
      <c r="B131" s="1">
        <v>64</v>
      </c>
      <c r="C131" s="1" t="s">
        <v>698</v>
      </c>
      <c r="D131" s="1">
        <v>47</v>
      </c>
      <c r="E131" s="1">
        <v>5</v>
      </c>
      <c r="F131" s="1" t="s">
        <v>698</v>
      </c>
      <c r="G131" s="1" t="s">
        <v>698</v>
      </c>
      <c r="H131" s="1" t="s">
        <v>698</v>
      </c>
      <c r="I131" s="1" t="s">
        <v>698</v>
      </c>
      <c r="J131" s="1">
        <f t="shared" ref="J131:J168" si="12">SUBTOTAL(103,B131)</f>
        <v>1</v>
      </c>
      <c r="L131" s="1" t="s">
        <v>719</v>
      </c>
      <c r="M131" s="7">
        <v>1</v>
      </c>
      <c r="N131" s="1" t="s">
        <v>211</v>
      </c>
      <c r="O131" s="3" t="s">
        <v>212</v>
      </c>
      <c r="P131" s="3" t="s">
        <v>14</v>
      </c>
      <c r="Q131" s="3">
        <v>3</v>
      </c>
      <c r="R131" s="43">
        <f>VLOOKUP('64'!O131,Malzemeler!C:D,2,0)</f>
        <v>4.43</v>
      </c>
      <c r="S131" s="43">
        <f t="shared" si="6"/>
        <v>13.29</v>
      </c>
    </row>
    <row r="132" spans="1:19" x14ac:dyDescent="0.35">
      <c r="A132" s="104"/>
      <c r="B132" s="1">
        <v>64</v>
      </c>
      <c r="C132" s="1" t="s">
        <v>698</v>
      </c>
      <c r="D132" s="1">
        <v>47</v>
      </c>
      <c r="E132" s="1">
        <v>5</v>
      </c>
      <c r="F132" s="1" t="s">
        <v>698</v>
      </c>
      <c r="G132" s="1" t="s">
        <v>698</v>
      </c>
      <c r="H132" s="1" t="s">
        <v>698</v>
      </c>
      <c r="I132" s="1" t="s">
        <v>698</v>
      </c>
      <c r="J132" s="1">
        <f t="shared" si="12"/>
        <v>1</v>
      </c>
      <c r="L132" s="1" t="s">
        <v>719</v>
      </c>
      <c r="M132" s="7">
        <v>2</v>
      </c>
      <c r="N132" s="1" t="s">
        <v>213</v>
      </c>
      <c r="O132" s="3" t="s">
        <v>214</v>
      </c>
      <c r="P132" s="3" t="s">
        <v>14</v>
      </c>
      <c r="Q132" s="3">
        <v>4</v>
      </c>
      <c r="R132" s="43">
        <f>VLOOKUP('64'!O132,Malzemeler!C:D,2,0)</f>
        <v>3.04</v>
      </c>
      <c r="S132" s="43">
        <f t="shared" si="6"/>
        <v>12.16</v>
      </c>
    </row>
    <row r="133" spans="1:19" x14ac:dyDescent="0.35">
      <c r="A133" s="104"/>
      <c r="B133" s="1">
        <v>64</v>
      </c>
      <c r="C133" s="1" t="s">
        <v>698</v>
      </c>
      <c r="D133" s="1">
        <v>47</v>
      </c>
      <c r="E133" s="1">
        <v>5</v>
      </c>
      <c r="F133" s="1" t="s">
        <v>698</v>
      </c>
      <c r="G133" s="1" t="s">
        <v>698</v>
      </c>
      <c r="H133" s="1" t="s">
        <v>698</v>
      </c>
      <c r="I133" s="1" t="s">
        <v>698</v>
      </c>
      <c r="J133" s="1">
        <f t="shared" si="12"/>
        <v>1</v>
      </c>
      <c r="L133" s="1" t="s">
        <v>719</v>
      </c>
      <c r="M133" s="7">
        <v>3</v>
      </c>
      <c r="N133" s="1" t="s">
        <v>297</v>
      </c>
      <c r="O133" s="3" t="s">
        <v>298</v>
      </c>
      <c r="P133" s="3" t="s">
        <v>14</v>
      </c>
      <c r="Q133" s="3">
        <v>1</v>
      </c>
      <c r="R133" s="43">
        <f>VLOOKUP('64'!O133,Malzemeler!C:D,2,0)</f>
        <v>2</v>
      </c>
      <c r="S133" s="43">
        <f t="shared" si="6"/>
        <v>2</v>
      </c>
    </row>
    <row r="134" spans="1:19" x14ac:dyDescent="0.35">
      <c r="A134" s="104"/>
      <c r="B134" s="1">
        <v>64</v>
      </c>
      <c r="C134" s="1" t="s">
        <v>698</v>
      </c>
      <c r="D134" s="1">
        <v>47</v>
      </c>
      <c r="E134" s="1">
        <v>5</v>
      </c>
      <c r="F134" s="1" t="s">
        <v>698</v>
      </c>
      <c r="G134" s="1" t="s">
        <v>698</v>
      </c>
      <c r="H134" s="1" t="s">
        <v>698</v>
      </c>
      <c r="I134" s="1" t="s">
        <v>698</v>
      </c>
      <c r="J134" s="1">
        <f t="shared" si="12"/>
        <v>1</v>
      </c>
      <c r="L134" s="1" t="s">
        <v>719</v>
      </c>
      <c r="M134" s="7">
        <v>4</v>
      </c>
      <c r="N134" s="1" t="s">
        <v>459</v>
      </c>
      <c r="O134" s="3" t="s">
        <v>460</v>
      </c>
      <c r="P134" s="3" t="s">
        <v>14</v>
      </c>
      <c r="Q134" s="3">
        <v>3</v>
      </c>
      <c r="R134" s="43">
        <f>VLOOKUP('64'!O134,Malzemeler!C:D,2,0)</f>
        <v>4.55</v>
      </c>
      <c r="S134" s="43">
        <f t="shared" ref="S134:S174" si="13">+R134*Q134</f>
        <v>13.649999999999999</v>
      </c>
    </row>
    <row r="135" spans="1:19" x14ac:dyDescent="0.35">
      <c r="A135" s="104"/>
      <c r="B135" s="1">
        <v>64</v>
      </c>
      <c r="C135" s="1" t="s">
        <v>698</v>
      </c>
      <c r="D135" s="1">
        <v>47</v>
      </c>
      <c r="E135" s="1">
        <v>5</v>
      </c>
      <c r="F135" s="1" t="s">
        <v>698</v>
      </c>
      <c r="G135" s="1" t="s">
        <v>698</v>
      </c>
      <c r="H135" s="1" t="s">
        <v>698</v>
      </c>
      <c r="I135" s="1" t="s">
        <v>698</v>
      </c>
      <c r="J135" s="1">
        <f t="shared" si="12"/>
        <v>1</v>
      </c>
      <c r="L135" s="1" t="s">
        <v>719</v>
      </c>
      <c r="M135" s="7">
        <v>5</v>
      </c>
      <c r="N135" s="1" t="s">
        <v>461</v>
      </c>
      <c r="O135" s="3" t="s">
        <v>462</v>
      </c>
      <c r="P135" s="3" t="s">
        <v>14</v>
      </c>
      <c r="Q135" s="3">
        <v>4</v>
      </c>
      <c r="R135" s="43">
        <f>VLOOKUP('64'!O135,Malzemeler!C:D,2,0)</f>
        <v>2.96</v>
      </c>
      <c r="S135" s="43">
        <f t="shared" si="13"/>
        <v>11.84</v>
      </c>
    </row>
    <row r="136" spans="1:19" x14ac:dyDescent="0.35">
      <c r="A136" s="104"/>
      <c r="B136" s="1">
        <v>64</v>
      </c>
      <c r="C136" s="1" t="s">
        <v>698</v>
      </c>
      <c r="D136" s="1">
        <v>47</v>
      </c>
      <c r="E136" s="1">
        <v>5</v>
      </c>
      <c r="F136" s="1" t="s">
        <v>698</v>
      </c>
      <c r="G136" s="1" t="s">
        <v>698</v>
      </c>
      <c r="H136" s="1" t="s">
        <v>698</v>
      </c>
      <c r="I136" s="1" t="s">
        <v>698</v>
      </c>
      <c r="J136" s="1">
        <f t="shared" si="12"/>
        <v>1</v>
      </c>
      <c r="L136" s="1" t="s">
        <v>719</v>
      </c>
      <c r="M136" s="7">
        <v>6</v>
      </c>
      <c r="N136" s="1" t="s">
        <v>467</v>
      </c>
      <c r="O136" s="3" t="s">
        <v>468</v>
      </c>
      <c r="P136" s="3" t="s">
        <v>14</v>
      </c>
      <c r="Q136" s="3">
        <v>1</v>
      </c>
      <c r="R136" s="43">
        <f>VLOOKUP('64'!O136,Malzemeler!C:D,2,0)</f>
        <v>2</v>
      </c>
      <c r="S136" s="43">
        <f t="shared" si="13"/>
        <v>2</v>
      </c>
    </row>
    <row r="137" spans="1:19" x14ac:dyDescent="0.35">
      <c r="A137" s="104"/>
      <c r="B137" s="1">
        <v>64</v>
      </c>
      <c r="C137" s="1" t="s">
        <v>698</v>
      </c>
      <c r="D137" s="1">
        <v>47</v>
      </c>
      <c r="E137" s="1">
        <v>5</v>
      </c>
      <c r="F137" s="1" t="s">
        <v>698</v>
      </c>
      <c r="G137" s="1" t="s">
        <v>698</v>
      </c>
      <c r="H137" s="1" t="s">
        <v>698</v>
      </c>
      <c r="I137" s="1" t="s">
        <v>698</v>
      </c>
      <c r="J137" s="1">
        <f t="shared" si="12"/>
        <v>1</v>
      </c>
      <c r="L137" s="1" t="s">
        <v>719</v>
      </c>
      <c r="M137" s="7">
        <v>7</v>
      </c>
      <c r="N137" s="1" t="s">
        <v>463</v>
      </c>
      <c r="O137" s="3" t="s">
        <v>464</v>
      </c>
      <c r="P137" s="3" t="s">
        <v>14</v>
      </c>
      <c r="Q137" s="3">
        <v>3</v>
      </c>
      <c r="R137" s="43">
        <f>VLOOKUP('64'!O137,Malzemeler!C:D,2,0)</f>
        <v>7.15</v>
      </c>
      <c r="S137" s="43">
        <f t="shared" si="13"/>
        <v>21.450000000000003</v>
      </c>
    </row>
    <row r="138" spans="1:19" x14ac:dyDescent="0.35">
      <c r="A138" s="104"/>
      <c r="B138" s="1">
        <v>64</v>
      </c>
      <c r="C138" s="1" t="s">
        <v>698</v>
      </c>
      <c r="D138" s="1">
        <v>47</v>
      </c>
      <c r="E138" s="1">
        <v>5</v>
      </c>
      <c r="F138" s="1" t="s">
        <v>698</v>
      </c>
      <c r="G138" s="1" t="s">
        <v>698</v>
      </c>
      <c r="H138" s="1" t="s">
        <v>698</v>
      </c>
      <c r="I138" s="1" t="s">
        <v>698</v>
      </c>
      <c r="J138" s="1">
        <f t="shared" si="12"/>
        <v>1</v>
      </c>
      <c r="L138" s="1" t="s">
        <v>719</v>
      </c>
      <c r="M138" s="7">
        <v>8</v>
      </c>
      <c r="N138" s="1" t="s">
        <v>465</v>
      </c>
      <c r="O138" s="3" t="s">
        <v>466</v>
      </c>
      <c r="P138" s="3" t="s">
        <v>14</v>
      </c>
      <c r="Q138" s="3">
        <v>4</v>
      </c>
      <c r="R138" s="43">
        <f>VLOOKUP('64'!O138,Malzemeler!C:D,2,0)</f>
        <v>4.37</v>
      </c>
      <c r="S138" s="43">
        <f t="shared" si="13"/>
        <v>17.48</v>
      </c>
    </row>
    <row r="139" spans="1:19" x14ac:dyDescent="0.35">
      <c r="A139" s="104"/>
      <c r="B139" s="1">
        <v>64</v>
      </c>
      <c r="C139" s="1" t="s">
        <v>698</v>
      </c>
      <c r="D139" s="1">
        <v>47</v>
      </c>
      <c r="E139" s="1">
        <v>5</v>
      </c>
      <c r="F139" s="1" t="s">
        <v>698</v>
      </c>
      <c r="G139" s="1" t="s">
        <v>698</v>
      </c>
      <c r="H139" s="1" t="s">
        <v>698</v>
      </c>
      <c r="I139" s="1" t="s">
        <v>698</v>
      </c>
      <c r="J139" s="1">
        <f t="shared" si="12"/>
        <v>1</v>
      </c>
      <c r="L139" s="1" t="s">
        <v>719</v>
      </c>
      <c r="M139" s="7">
        <v>9</v>
      </c>
      <c r="N139" s="1" t="s">
        <v>295</v>
      </c>
      <c r="O139" s="3" t="s">
        <v>296</v>
      </c>
      <c r="P139" s="3" t="s">
        <v>14</v>
      </c>
      <c r="Q139" s="3">
        <v>1</v>
      </c>
      <c r="R139" s="43">
        <f>VLOOKUP('64'!O139,Malzemeler!C:D,2,0)</f>
        <v>3.3</v>
      </c>
      <c r="S139" s="43">
        <f t="shared" si="13"/>
        <v>3.3</v>
      </c>
    </row>
    <row r="140" spans="1:19" x14ac:dyDescent="0.35">
      <c r="A140" s="104"/>
      <c r="B140" s="1">
        <v>64</v>
      </c>
      <c r="C140" s="1" t="s">
        <v>698</v>
      </c>
      <c r="D140" s="1">
        <v>5</v>
      </c>
      <c r="E140" s="1">
        <v>5</v>
      </c>
      <c r="F140" s="1" t="s">
        <v>698</v>
      </c>
      <c r="G140" s="1" t="s">
        <v>698</v>
      </c>
      <c r="H140" s="1" t="s">
        <v>698</v>
      </c>
      <c r="I140" s="1" t="s">
        <v>698</v>
      </c>
      <c r="J140" s="1">
        <f>SUBTOTAL(103,B140)</f>
        <v>1</v>
      </c>
      <c r="L140" s="1" t="s">
        <v>719</v>
      </c>
      <c r="M140" s="7">
        <v>1</v>
      </c>
      <c r="N140" s="5" t="s">
        <v>211</v>
      </c>
      <c r="O140" s="3" t="s">
        <v>212</v>
      </c>
      <c r="P140" s="3" t="s">
        <v>14</v>
      </c>
      <c r="Q140" s="3">
        <v>6</v>
      </c>
      <c r="R140" s="43">
        <f>VLOOKUP('64'!O140,Malzemeler!C:D,2,0)</f>
        <v>4.43</v>
      </c>
      <c r="S140" s="43">
        <f t="shared" si="13"/>
        <v>26.58</v>
      </c>
    </row>
    <row r="141" spans="1:19" x14ac:dyDescent="0.35">
      <c r="A141" s="104"/>
      <c r="B141" s="1">
        <v>64</v>
      </c>
      <c r="C141" s="1" t="s">
        <v>698</v>
      </c>
      <c r="D141" s="1">
        <v>5</v>
      </c>
      <c r="E141" s="1">
        <v>5</v>
      </c>
      <c r="F141" s="1" t="s">
        <v>698</v>
      </c>
      <c r="G141" s="1" t="s">
        <v>698</v>
      </c>
      <c r="H141" s="1" t="s">
        <v>698</v>
      </c>
      <c r="I141" s="1" t="s">
        <v>698</v>
      </c>
      <c r="J141" s="1">
        <v>1</v>
      </c>
      <c r="L141" s="1" t="s">
        <v>719</v>
      </c>
      <c r="M141" s="7">
        <v>2</v>
      </c>
      <c r="N141" s="5" t="s">
        <v>213</v>
      </c>
      <c r="O141" s="3" t="s">
        <v>214</v>
      </c>
      <c r="P141" s="3" t="s">
        <v>14</v>
      </c>
      <c r="Q141" s="3">
        <v>8</v>
      </c>
      <c r="R141" s="43">
        <f>VLOOKUP('64'!O141,Malzemeler!C:D,2,0)</f>
        <v>3.04</v>
      </c>
      <c r="S141" s="43">
        <f t="shared" si="13"/>
        <v>24.32</v>
      </c>
    </row>
    <row r="142" spans="1:19" x14ac:dyDescent="0.35">
      <c r="A142" s="104"/>
      <c r="B142" s="1">
        <v>64</v>
      </c>
      <c r="C142" s="1" t="s">
        <v>698</v>
      </c>
      <c r="D142" s="1">
        <v>5</v>
      </c>
      <c r="E142" s="1">
        <v>5</v>
      </c>
      <c r="F142" s="1" t="s">
        <v>698</v>
      </c>
      <c r="G142" s="1" t="s">
        <v>698</v>
      </c>
      <c r="H142" s="1" t="s">
        <v>698</v>
      </c>
      <c r="I142" s="1" t="s">
        <v>698</v>
      </c>
      <c r="J142" s="1">
        <v>1</v>
      </c>
      <c r="L142" s="1" t="s">
        <v>719</v>
      </c>
      <c r="M142" s="7">
        <v>3</v>
      </c>
      <c r="N142" s="5" t="s">
        <v>297</v>
      </c>
      <c r="O142" s="3" t="s">
        <v>298</v>
      </c>
      <c r="P142" s="3" t="s">
        <v>14</v>
      </c>
      <c r="Q142" s="3">
        <v>2</v>
      </c>
      <c r="R142" s="43">
        <f>VLOOKUP('64'!O142,Malzemeler!C:D,2,0)</f>
        <v>2</v>
      </c>
      <c r="S142" s="43">
        <f t="shared" si="13"/>
        <v>4</v>
      </c>
    </row>
    <row r="143" spans="1:19" x14ac:dyDescent="0.35">
      <c r="A143" s="104"/>
      <c r="B143" s="1">
        <v>64</v>
      </c>
      <c r="C143" s="1" t="s">
        <v>698</v>
      </c>
      <c r="D143" s="1">
        <v>49</v>
      </c>
      <c r="E143" s="1">
        <v>5</v>
      </c>
      <c r="F143" s="1" t="s">
        <v>698</v>
      </c>
      <c r="G143" s="1" t="s">
        <v>698</v>
      </c>
      <c r="H143" s="1" t="s">
        <v>698</v>
      </c>
      <c r="I143" s="1" t="s">
        <v>698</v>
      </c>
      <c r="J143" s="1">
        <f t="shared" ref="J143:J151" si="14">SUBTOTAL(103,B143)</f>
        <v>1</v>
      </c>
      <c r="L143" s="1" t="s">
        <v>719</v>
      </c>
      <c r="M143" s="7">
        <v>1</v>
      </c>
      <c r="N143" s="1" t="s">
        <v>211</v>
      </c>
      <c r="O143" s="3" t="s">
        <v>212</v>
      </c>
      <c r="P143" s="3" t="s">
        <v>14</v>
      </c>
      <c r="Q143" s="3">
        <v>3</v>
      </c>
      <c r="R143" s="43">
        <f>VLOOKUP('64'!O143,Malzemeler!C:D,2,0)</f>
        <v>4.43</v>
      </c>
      <c r="S143" s="43">
        <f t="shared" si="13"/>
        <v>13.29</v>
      </c>
    </row>
    <row r="144" spans="1:19" x14ac:dyDescent="0.35">
      <c r="A144" s="104"/>
      <c r="B144" s="1">
        <v>64</v>
      </c>
      <c r="C144" s="1" t="s">
        <v>698</v>
      </c>
      <c r="D144" s="1">
        <v>49</v>
      </c>
      <c r="E144" s="1">
        <v>5</v>
      </c>
      <c r="F144" s="1" t="s">
        <v>698</v>
      </c>
      <c r="G144" s="1" t="s">
        <v>698</v>
      </c>
      <c r="H144" s="1" t="s">
        <v>698</v>
      </c>
      <c r="I144" s="1" t="s">
        <v>698</v>
      </c>
      <c r="J144" s="1">
        <f t="shared" si="14"/>
        <v>1</v>
      </c>
      <c r="L144" s="1" t="s">
        <v>719</v>
      </c>
      <c r="M144" s="7">
        <v>2</v>
      </c>
      <c r="N144" s="1" t="s">
        <v>213</v>
      </c>
      <c r="O144" s="3" t="s">
        <v>214</v>
      </c>
      <c r="P144" s="3" t="s">
        <v>14</v>
      </c>
      <c r="Q144" s="3">
        <v>4</v>
      </c>
      <c r="R144" s="43">
        <f>VLOOKUP('64'!O144,Malzemeler!C:D,2,0)</f>
        <v>3.04</v>
      </c>
      <c r="S144" s="43">
        <f t="shared" si="13"/>
        <v>12.16</v>
      </c>
    </row>
    <row r="145" spans="1:19" x14ac:dyDescent="0.35">
      <c r="A145" s="104"/>
      <c r="B145" s="1">
        <v>64</v>
      </c>
      <c r="C145" s="1" t="s">
        <v>698</v>
      </c>
      <c r="D145" s="1">
        <v>49</v>
      </c>
      <c r="E145" s="1">
        <v>5</v>
      </c>
      <c r="F145" s="1" t="s">
        <v>698</v>
      </c>
      <c r="G145" s="1" t="s">
        <v>698</v>
      </c>
      <c r="H145" s="1" t="s">
        <v>698</v>
      </c>
      <c r="I145" s="1" t="s">
        <v>698</v>
      </c>
      <c r="J145" s="1">
        <f t="shared" si="14"/>
        <v>1</v>
      </c>
      <c r="L145" s="1" t="s">
        <v>719</v>
      </c>
      <c r="M145" s="7">
        <v>3</v>
      </c>
      <c r="N145" s="1" t="s">
        <v>297</v>
      </c>
      <c r="O145" s="3" t="s">
        <v>298</v>
      </c>
      <c r="P145" s="3" t="s">
        <v>14</v>
      </c>
      <c r="Q145" s="3">
        <v>1</v>
      </c>
      <c r="R145" s="43">
        <f>VLOOKUP('64'!O145,Malzemeler!C:D,2,0)</f>
        <v>2</v>
      </c>
      <c r="S145" s="43">
        <f t="shared" si="13"/>
        <v>2</v>
      </c>
    </row>
    <row r="146" spans="1:19" x14ac:dyDescent="0.35">
      <c r="A146" s="104"/>
      <c r="B146" s="1">
        <v>64</v>
      </c>
      <c r="C146" s="1" t="s">
        <v>698</v>
      </c>
      <c r="D146" s="1">
        <v>49</v>
      </c>
      <c r="E146" s="1">
        <v>5</v>
      </c>
      <c r="F146" s="1" t="s">
        <v>698</v>
      </c>
      <c r="G146" s="1" t="s">
        <v>698</v>
      </c>
      <c r="H146" s="1" t="s">
        <v>698</v>
      </c>
      <c r="I146" s="1" t="s">
        <v>698</v>
      </c>
      <c r="J146" s="1">
        <f t="shared" si="14"/>
        <v>1</v>
      </c>
      <c r="L146" s="1" t="s">
        <v>719</v>
      </c>
      <c r="M146" s="7">
        <v>4</v>
      </c>
      <c r="N146" s="1" t="s">
        <v>459</v>
      </c>
      <c r="O146" s="3" t="s">
        <v>460</v>
      </c>
      <c r="P146" s="3" t="s">
        <v>14</v>
      </c>
      <c r="Q146" s="3">
        <v>3</v>
      </c>
      <c r="R146" s="43">
        <f>VLOOKUP('64'!O146,Malzemeler!C:D,2,0)</f>
        <v>4.55</v>
      </c>
      <c r="S146" s="43">
        <f t="shared" si="13"/>
        <v>13.649999999999999</v>
      </c>
    </row>
    <row r="147" spans="1:19" x14ac:dyDescent="0.35">
      <c r="A147" s="104"/>
      <c r="B147" s="1">
        <v>64</v>
      </c>
      <c r="C147" s="1" t="s">
        <v>698</v>
      </c>
      <c r="D147" s="1">
        <v>49</v>
      </c>
      <c r="E147" s="1">
        <v>5</v>
      </c>
      <c r="F147" s="1" t="s">
        <v>698</v>
      </c>
      <c r="G147" s="1" t="s">
        <v>698</v>
      </c>
      <c r="H147" s="1" t="s">
        <v>698</v>
      </c>
      <c r="I147" s="1" t="s">
        <v>698</v>
      </c>
      <c r="J147" s="1">
        <f t="shared" si="14"/>
        <v>1</v>
      </c>
      <c r="L147" s="1" t="s">
        <v>719</v>
      </c>
      <c r="M147" s="7">
        <v>5</v>
      </c>
      <c r="N147" s="1" t="s">
        <v>461</v>
      </c>
      <c r="O147" s="3" t="s">
        <v>462</v>
      </c>
      <c r="P147" s="3" t="s">
        <v>14</v>
      </c>
      <c r="Q147" s="3">
        <v>4</v>
      </c>
      <c r="R147" s="43">
        <f>VLOOKUP('64'!O147,Malzemeler!C:D,2,0)</f>
        <v>2.96</v>
      </c>
      <c r="S147" s="43">
        <f t="shared" si="13"/>
        <v>11.84</v>
      </c>
    </row>
    <row r="148" spans="1:19" x14ac:dyDescent="0.35">
      <c r="A148" s="104"/>
      <c r="B148" s="1">
        <v>64</v>
      </c>
      <c r="C148" s="1" t="s">
        <v>698</v>
      </c>
      <c r="D148" s="1">
        <v>49</v>
      </c>
      <c r="E148" s="1">
        <v>5</v>
      </c>
      <c r="F148" s="1" t="s">
        <v>698</v>
      </c>
      <c r="G148" s="1" t="s">
        <v>698</v>
      </c>
      <c r="H148" s="1" t="s">
        <v>698</v>
      </c>
      <c r="I148" s="1" t="s">
        <v>698</v>
      </c>
      <c r="J148" s="1">
        <f t="shared" si="14"/>
        <v>1</v>
      </c>
      <c r="L148" s="1" t="s">
        <v>719</v>
      </c>
      <c r="M148" s="7">
        <v>6</v>
      </c>
      <c r="N148" s="1" t="s">
        <v>467</v>
      </c>
      <c r="O148" s="3" t="s">
        <v>468</v>
      </c>
      <c r="P148" s="3" t="s">
        <v>14</v>
      </c>
      <c r="Q148" s="3">
        <v>1</v>
      </c>
      <c r="R148" s="43">
        <f>VLOOKUP('64'!O148,Malzemeler!C:D,2,0)</f>
        <v>2</v>
      </c>
      <c r="S148" s="43">
        <f t="shared" si="13"/>
        <v>2</v>
      </c>
    </row>
    <row r="149" spans="1:19" x14ac:dyDescent="0.35">
      <c r="A149" s="104"/>
      <c r="B149" s="1">
        <v>64</v>
      </c>
      <c r="C149" s="1" t="s">
        <v>698</v>
      </c>
      <c r="D149" s="1">
        <v>49</v>
      </c>
      <c r="E149" s="1">
        <v>5</v>
      </c>
      <c r="F149" s="1" t="s">
        <v>698</v>
      </c>
      <c r="G149" s="1" t="s">
        <v>698</v>
      </c>
      <c r="H149" s="1" t="s">
        <v>698</v>
      </c>
      <c r="I149" s="1" t="s">
        <v>698</v>
      </c>
      <c r="J149" s="1">
        <f t="shared" si="14"/>
        <v>1</v>
      </c>
      <c r="L149" s="1" t="s">
        <v>719</v>
      </c>
      <c r="M149" s="7">
        <v>7</v>
      </c>
      <c r="N149" s="5" t="s">
        <v>575</v>
      </c>
      <c r="O149" s="3" t="s">
        <v>577</v>
      </c>
      <c r="P149" s="3" t="s">
        <v>14</v>
      </c>
      <c r="Q149" s="3">
        <v>3</v>
      </c>
      <c r="R149" s="43">
        <f>VLOOKUP('64'!O149,Malzemeler!C:D,2,0)</f>
        <v>6.91</v>
      </c>
      <c r="S149" s="43">
        <f t="shared" si="13"/>
        <v>20.73</v>
      </c>
    </row>
    <row r="150" spans="1:19" x14ac:dyDescent="0.35">
      <c r="A150" s="104"/>
      <c r="B150" s="1">
        <v>64</v>
      </c>
      <c r="C150" s="1" t="s">
        <v>698</v>
      </c>
      <c r="D150" s="1">
        <v>49</v>
      </c>
      <c r="E150" s="1">
        <v>5</v>
      </c>
      <c r="F150" s="1" t="s">
        <v>698</v>
      </c>
      <c r="G150" s="1" t="s">
        <v>698</v>
      </c>
      <c r="H150" s="1" t="s">
        <v>698</v>
      </c>
      <c r="I150" s="1" t="s">
        <v>698</v>
      </c>
      <c r="J150" s="1">
        <f t="shared" si="14"/>
        <v>1</v>
      </c>
      <c r="L150" s="1" t="s">
        <v>719</v>
      </c>
      <c r="M150" s="7">
        <v>8</v>
      </c>
      <c r="N150" s="5" t="s">
        <v>576</v>
      </c>
      <c r="O150" s="3" t="s">
        <v>578</v>
      </c>
      <c r="P150" s="3" t="s">
        <v>14</v>
      </c>
      <c r="Q150" s="3">
        <v>4</v>
      </c>
      <c r="R150" s="43">
        <f>VLOOKUP('64'!O150,Malzemeler!C:D,2,0)</f>
        <v>4.47</v>
      </c>
      <c r="S150" s="43">
        <f t="shared" si="13"/>
        <v>17.88</v>
      </c>
    </row>
    <row r="151" spans="1:19" x14ac:dyDescent="0.35">
      <c r="A151" s="104"/>
      <c r="B151" s="1">
        <v>64</v>
      </c>
      <c r="C151" s="1" t="s">
        <v>698</v>
      </c>
      <c r="D151" s="1">
        <v>49</v>
      </c>
      <c r="E151" s="1">
        <v>5</v>
      </c>
      <c r="F151" s="1" t="s">
        <v>698</v>
      </c>
      <c r="G151" s="1" t="s">
        <v>698</v>
      </c>
      <c r="H151" s="1" t="s">
        <v>698</v>
      </c>
      <c r="I151" s="1" t="s">
        <v>698</v>
      </c>
      <c r="J151" s="1">
        <f t="shared" si="14"/>
        <v>1</v>
      </c>
      <c r="L151" s="1" t="s">
        <v>719</v>
      </c>
      <c r="M151" s="7">
        <v>9</v>
      </c>
      <c r="N151" s="5" t="s">
        <v>579</v>
      </c>
      <c r="O151" s="3" t="s">
        <v>580</v>
      </c>
      <c r="P151" s="3" t="s">
        <v>14</v>
      </c>
      <c r="Q151" s="3">
        <v>1</v>
      </c>
      <c r="R151" s="43">
        <f>VLOOKUP('64'!O151,Malzemeler!C:D,2,0)</f>
        <v>4</v>
      </c>
      <c r="S151" s="43">
        <f t="shared" si="13"/>
        <v>4</v>
      </c>
    </row>
    <row r="152" spans="1:19" x14ac:dyDescent="0.35">
      <c r="A152" s="104" t="s">
        <v>478</v>
      </c>
      <c r="B152" s="1">
        <v>64</v>
      </c>
      <c r="C152" s="1" t="s">
        <v>572</v>
      </c>
      <c r="D152" s="1" t="s">
        <v>698</v>
      </c>
      <c r="E152" s="1" t="s">
        <v>698</v>
      </c>
      <c r="F152" s="1" t="s">
        <v>602</v>
      </c>
      <c r="G152" s="1" t="s">
        <v>698</v>
      </c>
      <c r="H152" s="1" t="s">
        <v>698</v>
      </c>
      <c r="I152" s="1" t="s">
        <v>698</v>
      </c>
      <c r="J152" s="1">
        <f t="shared" si="12"/>
        <v>1</v>
      </c>
      <c r="L152" s="1" t="s">
        <v>724</v>
      </c>
      <c r="M152" s="18">
        <v>1</v>
      </c>
      <c r="N152" s="1" t="s">
        <v>483</v>
      </c>
      <c r="O152" s="3" t="s">
        <v>492</v>
      </c>
      <c r="P152" s="3" t="s">
        <v>14</v>
      </c>
      <c r="Q152" s="3">
        <v>1</v>
      </c>
      <c r="R152" s="43">
        <f>VLOOKUP('64'!O152,Malzemeler!C:D,2,0)</f>
        <v>1290</v>
      </c>
      <c r="S152" s="43">
        <f t="shared" si="13"/>
        <v>1290</v>
      </c>
    </row>
    <row r="153" spans="1:19" x14ac:dyDescent="0.35">
      <c r="A153" s="104"/>
      <c r="B153" s="1">
        <v>64</v>
      </c>
      <c r="C153" s="28" t="s">
        <v>573</v>
      </c>
      <c r="D153" s="28" t="s">
        <v>698</v>
      </c>
      <c r="E153" s="28" t="s">
        <v>698</v>
      </c>
      <c r="F153" s="28" t="s">
        <v>602</v>
      </c>
      <c r="G153" s="28" t="s">
        <v>698</v>
      </c>
      <c r="H153" s="28" t="s">
        <v>698</v>
      </c>
      <c r="I153" s="28" t="s">
        <v>698</v>
      </c>
      <c r="J153" s="28">
        <f>SUBTOTAL(103,B153)</f>
        <v>1</v>
      </c>
      <c r="L153" s="1" t="s">
        <v>725</v>
      </c>
      <c r="M153" s="27">
        <v>1</v>
      </c>
      <c r="N153" s="28" t="s">
        <v>483</v>
      </c>
      <c r="O153" s="29" t="s">
        <v>716</v>
      </c>
      <c r="P153" s="29" t="s">
        <v>14</v>
      </c>
      <c r="Q153" s="29">
        <v>1</v>
      </c>
      <c r="R153" s="43" t="e">
        <f>VLOOKUP('64'!O153,Malzemeler!C:D,2,0)</f>
        <v>#N/A</v>
      </c>
      <c r="S153" s="43" t="e">
        <f>+R153*Q153</f>
        <v>#N/A</v>
      </c>
    </row>
    <row r="154" spans="1:19" x14ac:dyDescent="0.35">
      <c r="A154" s="104"/>
      <c r="B154" s="1">
        <v>64</v>
      </c>
      <c r="C154" s="1" t="s">
        <v>698</v>
      </c>
      <c r="D154" s="1" t="s">
        <v>698</v>
      </c>
      <c r="E154" s="1" t="s">
        <v>698</v>
      </c>
      <c r="F154" s="1" t="s">
        <v>602</v>
      </c>
      <c r="G154" s="1" t="s">
        <v>698</v>
      </c>
      <c r="H154" s="1" t="s">
        <v>698</v>
      </c>
      <c r="I154" s="1" t="s">
        <v>698</v>
      </c>
      <c r="J154" s="1">
        <f t="shared" si="12"/>
        <v>1</v>
      </c>
      <c r="L154" s="1" t="s">
        <v>724</v>
      </c>
      <c r="M154" s="18">
        <v>2</v>
      </c>
      <c r="N154" s="1" t="s">
        <v>488</v>
      </c>
      <c r="O154" s="3" t="s">
        <v>489</v>
      </c>
      <c r="P154" s="3" t="s">
        <v>14</v>
      </c>
      <c r="Q154" s="3">
        <v>1</v>
      </c>
      <c r="R154" s="43">
        <f>VLOOKUP('64'!O154,Malzemeler!C:D,2,0)</f>
        <v>214.49999999999997</v>
      </c>
      <c r="S154" s="43">
        <f t="shared" si="13"/>
        <v>214.49999999999997</v>
      </c>
    </row>
    <row r="155" spans="1:19" x14ac:dyDescent="0.35">
      <c r="A155" s="104"/>
      <c r="B155" s="1">
        <v>64</v>
      </c>
      <c r="C155" s="1" t="s">
        <v>698</v>
      </c>
      <c r="D155" s="1" t="s">
        <v>698</v>
      </c>
      <c r="E155" s="1" t="s">
        <v>698</v>
      </c>
      <c r="F155" s="1" t="s">
        <v>602</v>
      </c>
      <c r="G155" s="1" t="s">
        <v>698</v>
      </c>
      <c r="H155" s="1" t="s">
        <v>698</v>
      </c>
      <c r="I155" s="1" t="s">
        <v>698</v>
      </c>
      <c r="J155" s="1">
        <f t="shared" si="12"/>
        <v>1</v>
      </c>
      <c r="L155" s="1" t="s">
        <v>724</v>
      </c>
      <c r="M155" s="18">
        <v>3</v>
      </c>
      <c r="N155" s="5" t="s">
        <v>486</v>
      </c>
      <c r="O155" s="3" t="s">
        <v>487</v>
      </c>
      <c r="P155" s="3" t="s">
        <v>14</v>
      </c>
      <c r="Q155" s="3">
        <v>1</v>
      </c>
      <c r="R155" s="43">
        <f>VLOOKUP('64'!O155,Malzemeler!C:D,2,0)</f>
        <v>113.85</v>
      </c>
      <c r="S155" s="43">
        <f t="shared" si="13"/>
        <v>113.85</v>
      </c>
    </row>
    <row r="156" spans="1:19" x14ac:dyDescent="0.35">
      <c r="A156" s="104"/>
      <c r="B156" s="1">
        <v>64</v>
      </c>
      <c r="C156" s="1" t="s">
        <v>698</v>
      </c>
      <c r="D156" s="1" t="s">
        <v>698</v>
      </c>
      <c r="E156" s="1" t="s">
        <v>698</v>
      </c>
      <c r="F156" s="1" t="s">
        <v>602</v>
      </c>
      <c r="G156" s="1" t="s">
        <v>698</v>
      </c>
      <c r="H156" s="1" t="s">
        <v>698</v>
      </c>
      <c r="I156" s="1" t="s">
        <v>698</v>
      </c>
      <c r="J156" s="1">
        <f t="shared" si="12"/>
        <v>1</v>
      </c>
      <c r="L156" s="1" t="s">
        <v>724</v>
      </c>
      <c r="M156" s="18">
        <v>4</v>
      </c>
      <c r="N156" s="1" t="s">
        <v>90</v>
      </c>
      <c r="O156" s="3" t="s">
        <v>91</v>
      </c>
      <c r="P156" s="3" t="s">
        <v>135</v>
      </c>
      <c r="Q156" s="10">
        <v>7.990000000000002</v>
      </c>
      <c r="R156" s="43">
        <f>VLOOKUP('64'!O156,Malzemeler!C:D,2,0)</f>
        <v>1.27</v>
      </c>
      <c r="S156" s="43">
        <f t="shared" si="13"/>
        <v>10.147300000000003</v>
      </c>
    </row>
    <row r="157" spans="1:19" x14ac:dyDescent="0.35">
      <c r="A157" s="104"/>
      <c r="B157" s="1">
        <v>64</v>
      </c>
      <c r="C157" s="1" t="s">
        <v>698</v>
      </c>
      <c r="D157" s="1" t="s">
        <v>698</v>
      </c>
      <c r="E157" s="1" t="s">
        <v>698</v>
      </c>
      <c r="F157" s="1" t="s">
        <v>602</v>
      </c>
      <c r="G157" s="1" t="s">
        <v>698</v>
      </c>
      <c r="H157" s="1" t="s">
        <v>698</v>
      </c>
      <c r="I157" s="1" t="s">
        <v>698</v>
      </c>
      <c r="J157" s="1">
        <f t="shared" si="12"/>
        <v>1</v>
      </c>
      <c r="L157" s="1" t="s">
        <v>724</v>
      </c>
      <c r="M157" s="18">
        <v>5</v>
      </c>
      <c r="N157" s="1" t="s">
        <v>92</v>
      </c>
      <c r="O157" s="3" t="s">
        <v>93</v>
      </c>
      <c r="P157" s="3" t="s">
        <v>135</v>
      </c>
      <c r="Q157" s="10">
        <v>3.2129999999999992</v>
      </c>
      <c r="R157" s="43">
        <f>VLOOKUP('64'!O157,Malzemeler!C:D,2,0)</f>
        <v>1.74</v>
      </c>
      <c r="S157" s="43">
        <f t="shared" si="13"/>
        <v>5.5906199999999986</v>
      </c>
    </row>
    <row r="158" spans="1:19" x14ac:dyDescent="0.35">
      <c r="A158" s="104"/>
      <c r="B158" s="1">
        <v>64</v>
      </c>
      <c r="C158" s="1" t="s">
        <v>698</v>
      </c>
      <c r="D158" s="1" t="s">
        <v>698</v>
      </c>
      <c r="E158" s="1" t="s">
        <v>698</v>
      </c>
      <c r="F158" s="1" t="s">
        <v>602</v>
      </c>
      <c r="G158" s="1" t="s">
        <v>698</v>
      </c>
      <c r="H158" s="1" t="s">
        <v>698</v>
      </c>
      <c r="I158" s="1" t="s">
        <v>698</v>
      </c>
      <c r="J158" s="1">
        <f t="shared" si="12"/>
        <v>1</v>
      </c>
      <c r="L158" s="1" t="s">
        <v>724</v>
      </c>
      <c r="M158" s="18">
        <v>6</v>
      </c>
      <c r="N158" s="1" t="s">
        <v>94</v>
      </c>
      <c r="O158" s="3" t="s">
        <v>95</v>
      </c>
      <c r="P158" s="3" t="s">
        <v>135</v>
      </c>
      <c r="Q158" s="10">
        <v>11.089000000000013</v>
      </c>
      <c r="R158" s="43">
        <f>VLOOKUP('64'!O158,Malzemeler!C:D,2,0)</f>
        <v>1.95</v>
      </c>
      <c r="S158" s="43">
        <f t="shared" si="13"/>
        <v>21.623550000000023</v>
      </c>
    </row>
    <row r="159" spans="1:19" x14ac:dyDescent="0.35">
      <c r="A159" s="104"/>
      <c r="B159" s="1">
        <v>64</v>
      </c>
      <c r="C159" s="1" t="s">
        <v>698</v>
      </c>
      <c r="D159" s="1" t="s">
        <v>698</v>
      </c>
      <c r="E159" s="1" t="s">
        <v>698</v>
      </c>
      <c r="F159" s="1" t="s">
        <v>602</v>
      </c>
      <c r="G159" s="1" t="s">
        <v>698</v>
      </c>
      <c r="H159" s="1" t="s">
        <v>698</v>
      </c>
      <c r="I159" s="1" t="s">
        <v>698</v>
      </c>
      <c r="J159" s="1">
        <f t="shared" si="12"/>
        <v>1</v>
      </c>
      <c r="L159" s="1" t="s">
        <v>724</v>
      </c>
      <c r="M159" s="18">
        <v>7</v>
      </c>
      <c r="N159" s="1" t="s">
        <v>98</v>
      </c>
      <c r="O159" s="3" t="s">
        <v>99</v>
      </c>
      <c r="P159" s="3" t="s">
        <v>133</v>
      </c>
      <c r="Q159" s="10">
        <v>1.2119999999999962</v>
      </c>
      <c r="R159" s="43">
        <f>VLOOKUP('64'!O159,Malzemeler!C:D,2,0)</f>
        <v>0.87</v>
      </c>
      <c r="S159" s="43">
        <f t="shared" si="13"/>
        <v>1.0544399999999967</v>
      </c>
    </row>
    <row r="160" spans="1:19" x14ac:dyDescent="0.35">
      <c r="A160" s="104"/>
      <c r="B160" s="1">
        <v>64</v>
      </c>
      <c r="C160" s="1" t="s">
        <v>698</v>
      </c>
      <c r="D160" s="1" t="s">
        <v>698</v>
      </c>
      <c r="E160" s="1" t="s">
        <v>698</v>
      </c>
      <c r="F160" s="1" t="s">
        <v>602</v>
      </c>
      <c r="G160" s="1" t="s">
        <v>698</v>
      </c>
      <c r="H160" s="1" t="s">
        <v>698</v>
      </c>
      <c r="I160" s="1" t="s">
        <v>698</v>
      </c>
      <c r="J160" s="1">
        <f t="shared" si="12"/>
        <v>1</v>
      </c>
      <c r="L160" s="1" t="s">
        <v>724</v>
      </c>
      <c r="M160" s="18">
        <v>8</v>
      </c>
      <c r="N160" s="1" t="s">
        <v>102</v>
      </c>
      <c r="O160" s="3" t="s">
        <v>103</v>
      </c>
      <c r="P160" s="3" t="s">
        <v>133</v>
      </c>
      <c r="Q160" s="10">
        <v>14.088000000000008</v>
      </c>
      <c r="R160" s="43">
        <f>VLOOKUP('64'!O160,Malzemeler!C:D,2,0)</f>
        <v>1.1299999999999999</v>
      </c>
      <c r="S160" s="43">
        <f t="shared" si="13"/>
        <v>15.919440000000007</v>
      </c>
    </row>
    <row r="161" spans="1:19" x14ac:dyDescent="0.35">
      <c r="A161" s="104"/>
      <c r="B161" s="1">
        <v>64</v>
      </c>
      <c r="C161" s="1" t="s">
        <v>698</v>
      </c>
      <c r="D161" s="1" t="s">
        <v>698</v>
      </c>
      <c r="E161" s="1" t="s">
        <v>698</v>
      </c>
      <c r="F161" s="1" t="s">
        <v>602</v>
      </c>
      <c r="G161" s="1" t="s">
        <v>698</v>
      </c>
      <c r="H161" s="1" t="s">
        <v>698</v>
      </c>
      <c r="I161" s="1" t="s">
        <v>698</v>
      </c>
      <c r="J161" s="1">
        <f t="shared" si="12"/>
        <v>1</v>
      </c>
      <c r="L161" s="1" t="s">
        <v>724</v>
      </c>
      <c r="M161" s="18">
        <v>9</v>
      </c>
      <c r="N161" s="1" t="s">
        <v>104</v>
      </c>
      <c r="O161" s="3" t="s">
        <v>105</v>
      </c>
      <c r="P161" s="3" t="s">
        <v>133</v>
      </c>
      <c r="Q161" s="10">
        <v>128.97686539999972</v>
      </c>
      <c r="R161" s="43">
        <f>VLOOKUP('64'!O161,Malzemeler!C:D,2,0)</f>
        <v>0.98</v>
      </c>
      <c r="S161" s="43">
        <f t="shared" si="13"/>
        <v>126.39732809199973</v>
      </c>
    </row>
    <row r="162" spans="1:19" x14ac:dyDescent="0.35">
      <c r="A162" s="104"/>
      <c r="B162" s="1">
        <v>64</v>
      </c>
      <c r="C162" s="1" t="s">
        <v>698</v>
      </c>
      <c r="D162" s="1" t="s">
        <v>698</v>
      </c>
      <c r="E162" s="1" t="s">
        <v>698</v>
      </c>
      <c r="F162" s="1" t="s">
        <v>602</v>
      </c>
      <c r="G162" s="1" t="s">
        <v>698</v>
      </c>
      <c r="H162" s="1" t="s">
        <v>698</v>
      </c>
      <c r="I162" s="1" t="s">
        <v>698</v>
      </c>
      <c r="J162" s="1">
        <f t="shared" si="12"/>
        <v>1</v>
      </c>
      <c r="L162" s="1" t="s">
        <v>724</v>
      </c>
      <c r="M162" s="18">
        <v>10</v>
      </c>
      <c r="N162" s="1" t="s">
        <v>106</v>
      </c>
      <c r="O162" s="3" t="s">
        <v>107</v>
      </c>
      <c r="P162" s="3" t="s">
        <v>14</v>
      </c>
      <c r="Q162" s="3">
        <v>4</v>
      </c>
      <c r="R162" s="43">
        <f>VLOOKUP('64'!O162,Malzemeler!C:D,2,0)</f>
        <v>0</v>
      </c>
      <c r="S162" s="43">
        <f t="shared" si="13"/>
        <v>0</v>
      </c>
    </row>
    <row r="163" spans="1:19" x14ac:dyDescent="0.35">
      <c r="A163" s="104"/>
      <c r="B163" s="1">
        <v>64</v>
      </c>
      <c r="C163" s="1" t="s">
        <v>698</v>
      </c>
      <c r="D163" s="1" t="s">
        <v>698</v>
      </c>
      <c r="E163" s="1" t="s">
        <v>698</v>
      </c>
      <c r="F163" s="1" t="s">
        <v>602</v>
      </c>
      <c r="G163" s="1" t="s">
        <v>698</v>
      </c>
      <c r="H163" s="1" t="s">
        <v>698</v>
      </c>
      <c r="I163" s="1" t="s">
        <v>698</v>
      </c>
      <c r="J163" s="1">
        <f t="shared" si="12"/>
        <v>1</v>
      </c>
      <c r="L163" s="1" t="s">
        <v>724</v>
      </c>
      <c r="M163" s="18">
        <v>11</v>
      </c>
      <c r="N163" s="1" t="s">
        <v>108</v>
      </c>
      <c r="O163" s="3" t="s">
        <v>109</v>
      </c>
      <c r="P163" s="3" t="s">
        <v>14</v>
      </c>
      <c r="Q163" s="3">
        <v>4</v>
      </c>
      <c r="R163" s="43">
        <f>VLOOKUP('64'!O163,Malzemeler!C:D,2,0)</f>
        <v>0</v>
      </c>
      <c r="S163" s="43">
        <f t="shared" si="13"/>
        <v>0</v>
      </c>
    </row>
    <row r="164" spans="1:19" x14ac:dyDescent="0.35">
      <c r="A164" s="104"/>
      <c r="B164" s="1">
        <v>64</v>
      </c>
      <c r="C164" s="1" t="s">
        <v>698</v>
      </c>
      <c r="D164" s="1" t="s">
        <v>698</v>
      </c>
      <c r="E164" s="1" t="s">
        <v>698</v>
      </c>
      <c r="F164" s="1" t="s">
        <v>602</v>
      </c>
      <c r="G164" s="1" t="s">
        <v>698</v>
      </c>
      <c r="H164" s="1" t="s">
        <v>698</v>
      </c>
      <c r="I164" s="1" t="s">
        <v>698</v>
      </c>
      <c r="J164" s="1">
        <f t="shared" si="12"/>
        <v>1</v>
      </c>
      <c r="L164" s="1" t="s">
        <v>724</v>
      </c>
      <c r="M164" s="18">
        <v>12</v>
      </c>
      <c r="N164" s="1" t="s">
        <v>110</v>
      </c>
      <c r="O164" s="3" t="s">
        <v>111</v>
      </c>
      <c r="P164" s="3" t="s">
        <v>135</v>
      </c>
      <c r="Q164" s="10">
        <v>18.994</v>
      </c>
      <c r="R164" s="43">
        <f>VLOOKUP('64'!O164,Malzemeler!C:D,2,0)</f>
        <v>1.1200000000000001</v>
      </c>
      <c r="S164" s="43">
        <f t="shared" si="13"/>
        <v>21.273280000000003</v>
      </c>
    </row>
    <row r="165" spans="1:19" x14ac:dyDescent="0.35">
      <c r="A165" s="104"/>
      <c r="B165" s="1">
        <v>64</v>
      </c>
      <c r="C165" s="1" t="s">
        <v>698</v>
      </c>
      <c r="D165" s="1" t="s">
        <v>698</v>
      </c>
      <c r="E165" s="1" t="s">
        <v>698</v>
      </c>
      <c r="F165" s="1" t="s">
        <v>602</v>
      </c>
      <c r="G165" s="1" t="s">
        <v>698</v>
      </c>
      <c r="H165" s="1" t="s">
        <v>698</v>
      </c>
      <c r="I165" s="1" t="s">
        <v>698</v>
      </c>
      <c r="J165" s="1">
        <f t="shared" si="12"/>
        <v>1</v>
      </c>
      <c r="L165" s="1" t="s">
        <v>724</v>
      </c>
      <c r="M165" s="18">
        <v>13</v>
      </c>
      <c r="N165" s="1" t="s">
        <v>112</v>
      </c>
      <c r="O165" s="3" t="s">
        <v>113</v>
      </c>
      <c r="P165" s="3" t="s">
        <v>14</v>
      </c>
      <c r="Q165" s="3">
        <v>20</v>
      </c>
      <c r="R165" s="43">
        <f>VLOOKUP('64'!O165,Malzemeler!C:D,2,0)</f>
        <v>1.1200000000000001</v>
      </c>
      <c r="S165" s="43">
        <f t="shared" si="13"/>
        <v>22.400000000000002</v>
      </c>
    </row>
    <row r="166" spans="1:19" x14ac:dyDescent="0.35">
      <c r="A166" s="104"/>
      <c r="B166" s="1">
        <v>64</v>
      </c>
      <c r="C166" s="1" t="s">
        <v>698</v>
      </c>
      <c r="D166" s="1" t="s">
        <v>698</v>
      </c>
      <c r="E166" s="1" t="s">
        <v>698</v>
      </c>
      <c r="F166" s="1" t="s">
        <v>602</v>
      </c>
      <c r="G166" s="1" t="s">
        <v>698</v>
      </c>
      <c r="H166" s="1" t="s">
        <v>698</v>
      </c>
      <c r="I166" s="1" t="s">
        <v>698</v>
      </c>
      <c r="J166" s="1">
        <f t="shared" si="12"/>
        <v>1</v>
      </c>
      <c r="L166" s="1" t="s">
        <v>724</v>
      </c>
      <c r="M166" s="18">
        <v>14</v>
      </c>
      <c r="N166" s="1" t="s">
        <v>268</v>
      </c>
      <c r="O166" s="3" t="s">
        <v>269</v>
      </c>
      <c r="P166" s="3" t="s">
        <v>14</v>
      </c>
      <c r="Q166" s="3">
        <v>2</v>
      </c>
      <c r="R166" s="43">
        <f>VLOOKUP('64'!O166,Malzemeler!C:D,2,0)</f>
        <v>3.2450000000000001</v>
      </c>
      <c r="S166" s="43">
        <f t="shared" si="13"/>
        <v>6.49</v>
      </c>
    </row>
    <row r="167" spans="1:19" x14ac:dyDescent="0.35">
      <c r="A167" s="104"/>
      <c r="B167" s="1">
        <v>64</v>
      </c>
      <c r="C167" s="1" t="s">
        <v>698</v>
      </c>
      <c r="D167" s="1" t="s">
        <v>698</v>
      </c>
      <c r="E167" s="1" t="s">
        <v>698</v>
      </c>
      <c r="F167" s="1" t="s">
        <v>602</v>
      </c>
      <c r="G167" s="1" t="s">
        <v>698</v>
      </c>
      <c r="H167" s="1" t="s">
        <v>698</v>
      </c>
      <c r="I167" s="1" t="s">
        <v>698</v>
      </c>
      <c r="J167" s="1">
        <f t="shared" si="12"/>
        <v>1</v>
      </c>
      <c r="L167" s="1" t="s">
        <v>724</v>
      </c>
      <c r="M167" s="18">
        <v>15</v>
      </c>
      <c r="N167" s="1" t="s">
        <v>476</v>
      </c>
      <c r="O167" s="3" t="s">
        <v>477</v>
      </c>
      <c r="P167" s="3" t="s">
        <v>14</v>
      </c>
      <c r="Q167" s="3">
        <v>2</v>
      </c>
      <c r="R167" s="43">
        <f>VLOOKUP('64'!O167,Malzemeler!C:D,2,0)</f>
        <v>2.2709999999999999</v>
      </c>
      <c r="S167" s="43">
        <f t="shared" si="13"/>
        <v>4.5419999999999998</v>
      </c>
    </row>
    <row r="168" spans="1:19" x14ac:dyDescent="0.35">
      <c r="A168" s="104"/>
      <c r="B168" s="1">
        <v>64</v>
      </c>
      <c r="C168" s="1" t="s">
        <v>698</v>
      </c>
      <c r="D168" s="1" t="s">
        <v>698</v>
      </c>
      <c r="E168" s="1" t="s">
        <v>698</v>
      </c>
      <c r="F168" s="1" t="s">
        <v>602</v>
      </c>
      <c r="G168" s="1" t="s">
        <v>698</v>
      </c>
      <c r="H168" s="1" t="s">
        <v>698</v>
      </c>
      <c r="I168" s="1" t="s">
        <v>698</v>
      </c>
      <c r="J168" s="1">
        <f t="shared" si="12"/>
        <v>1</v>
      </c>
      <c r="L168" s="1" t="s">
        <v>724</v>
      </c>
      <c r="M168" s="18">
        <v>16</v>
      </c>
      <c r="N168" s="1" t="s">
        <v>114</v>
      </c>
      <c r="O168" s="3" t="s">
        <v>115</v>
      </c>
      <c r="P168" s="3" t="s">
        <v>135</v>
      </c>
      <c r="Q168" s="10">
        <v>2.8580000000000005</v>
      </c>
      <c r="R168" s="43">
        <f>VLOOKUP('64'!O168,Malzemeler!C:D,2,0)</f>
        <v>2.21</v>
      </c>
      <c r="S168" s="43">
        <f t="shared" si="13"/>
        <v>6.316180000000001</v>
      </c>
    </row>
    <row r="169" spans="1:19" ht="15" customHeight="1" x14ac:dyDescent="0.35">
      <c r="A169" s="104" t="s">
        <v>720</v>
      </c>
      <c r="B169" s="1">
        <v>64</v>
      </c>
      <c r="C169" s="1" t="s">
        <v>572</v>
      </c>
      <c r="D169" s="1" t="s">
        <v>698</v>
      </c>
      <c r="E169" s="1" t="s">
        <v>698</v>
      </c>
      <c r="F169" s="1" t="s">
        <v>698</v>
      </c>
      <c r="G169" s="1" t="s">
        <v>698</v>
      </c>
      <c r="H169" s="1">
        <v>1</v>
      </c>
      <c r="I169" s="1" t="s">
        <v>698</v>
      </c>
      <c r="J169" s="1">
        <f t="shared" ref="J169:J174" si="15">SUBTOTAL(103,B169)</f>
        <v>1</v>
      </c>
      <c r="L169" s="1" t="s">
        <v>726</v>
      </c>
      <c r="M169" s="18">
        <v>1</v>
      </c>
      <c r="N169" s="1" t="s">
        <v>565</v>
      </c>
      <c r="O169" s="3" t="s">
        <v>192</v>
      </c>
      <c r="P169" s="3" t="s">
        <v>14</v>
      </c>
      <c r="Q169" s="3">
        <v>1</v>
      </c>
      <c r="R169" s="43">
        <f>VLOOKUP('64'!O169,Malzemeler!C:D,2,0)</f>
        <v>410</v>
      </c>
      <c r="S169" s="43">
        <f t="shared" si="13"/>
        <v>410</v>
      </c>
    </row>
    <row r="170" spans="1:19" ht="15" customHeight="1" x14ac:dyDescent="0.35">
      <c r="A170" s="104"/>
      <c r="B170" s="1">
        <v>64</v>
      </c>
      <c r="C170" s="28" t="s">
        <v>573</v>
      </c>
      <c r="D170" s="28" t="s">
        <v>698</v>
      </c>
      <c r="E170" s="28" t="s">
        <v>698</v>
      </c>
      <c r="F170" s="28" t="s">
        <v>698</v>
      </c>
      <c r="G170" s="28" t="s">
        <v>698</v>
      </c>
      <c r="H170" s="28">
        <v>1</v>
      </c>
      <c r="I170" s="28" t="s">
        <v>698</v>
      </c>
      <c r="J170" s="28">
        <f t="shared" ref="J170" si="16">SUBTOTAL(103,B170)</f>
        <v>1</v>
      </c>
      <c r="L170" s="1" t="s">
        <v>727</v>
      </c>
      <c r="M170" s="27">
        <v>1</v>
      </c>
      <c r="N170" s="28" t="s">
        <v>565</v>
      </c>
      <c r="O170" s="29" t="str">
        <f>VLOOKUP(N170,Malzemeler!B:C,2,)</f>
        <v>-</v>
      </c>
      <c r="P170" s="29" t="s">
        <v>14</v>
      </c>
      <c r="Q170" s="29">
        <v>1</v>
      </c>
      <c r="R170" s="43">
        <f>VLOOKUP('64'!O170,Malzemeler!C:D,2,0)</f>
        <v>410</v>
      </c>
      <c r="S170" s="43">
        <f t="shared" ref="S170" si="17">+R170*Q170</f>
        <v>410</v>
      </c>
    </row>
    <row r="171" spans="1:19" x14ac:dyDescent="0.35">
      <c r="A171" s="104"/>
      <c r="B171" s="1">
        <v>64</v>
      </c>
      <c r="C171" s="1" t="s">
        <v>698</v>
      </c>
      <c r="D171" s="1" t="s">
        <v>698</v>
      </c>
      <c r="E171" s="1" t="s">
        <v>698</v>
      </c>
      <c r="F171" s="1" t="s">
        <v>698</v>
      </c>
      <c r="G171" s="1" t="s">
        <v>698</v>
      </c>
      <c r="H171" s="1">
        <v>1</v>
      </c>
      <c r="I171" s="1" t="s">
        <v>698</v>
      </c>
      <c r="J171" s="1">
        <f t="shared" si="15"/>
        <v>1</v>
      </c>
      <c r="L171" s="1" t="s">
        <v>726</v>
      </c>
      <c r="M171" s="18">
        <v>2</v>
      </c>
      <c r="N171" s="1" t="s">
        <v>418</v>
      </c>
      <c r="O171" s="3" t="s">
        <v>419</v>
      </c>
      <c r="P171" s="3" t="s">
        <v>14</v>
      </c>
      <c r="Q171" s="3">
        <v>1</v>
      </c>
      <c r="R171" s="43">
        <f>VLOOKUP('64'!O171,Malzemeler!C:D,2,0)</f>
        <v>75.900000000000006</v>
      </c>
      <c r="S171" s="43">
        <f t="shared" si="13"/>
        <v>75.900000000000006</v>
      </c>
    </row>
    <row r="172" spans="1:19" x14ac:dyDescent="0.35">
      <c r="A172" s="104"/>
      <c r="B172" s="1">
        <v>64</v>
      </c>
      <c r="C172" s="1" t="s">
        <v>698</v>
      </c>
      <c r="D172" s="1" t="s">
        <v>698</v>
      </c>
      <c r="E172" s="1" t="s">
        <v>698</v>
      </c>
      <c r="F172" s="1" t="s">
        <v>698</v>
      </c>
      <c r="G172" s="1" t="s">
        <v>698</v>
      </c>
      <c r="H172" s="1">
        <v>1</v>
      </c>
      <c r="I172" s="1" t="s">
        <v>698</v>
      </c>
      <c r="J172" s="1">
        <f t="shared" si="15"/>
        <v>1</v>
      </c>
      <c r="L172" s="1" t="s">
        <v>726</v>
      </c>
      <c r="M172" s="18">
        <v>3</v>
      </c>
      <c r="N172" s="1" t="s">
        <v>54</v>
      </c>
      <c r="O172" s="3" t="s">
        <v>57</v>
      </c>
      <c r="P172" s="3" t="s">
        <v>14</v>
      </c>
      <c r="Q172" s="3">
        <v>1</v>
      </c>
      <c r="R172" s="43">
        <f>VLOOKUP('64'!O172,Malzemeler!C:D,2,0)</f>
        <v>77.55</v>
      </c>
      <c r="S172" s="43">
        <f t="shared" si="13"/>
        <v>77.55</v>
      </c>
    </row>
    <row r="173" spans="1:19" x14ac:dyDescent="0.35">
      <c r="A173" s="104"/>
      <c r="B173" s="1">
        <v>64</v>
      </c>
      <c r="C173" s="1" t="s">
        <v>698</v>
      </c>
      <c r="D173" s="1" t="s">
        <v>698</v>
      </c>
      <c r="E173" s="1" t="s">
        <v>698</v>
      </c>
      <c r="F173" s="1" t="s">
        <v>698</v>
      </c>
      <c r="G173" s="1" t="s">
        <v>698</v>
      </c>
      <c r="H173" s="1">
        <v>1</v>
      </c>
      <c r="I173" s="1" t="s">
        <v>698</v>
      </c>
      <c r="J173" s="1">
        <f t="shared" si="15"/>
        <v>1</v>
      </c>
      <c r="L173" s="1" t="s">
        <v>726</v>
      </c>
      <c r="M173" s="18">
        <v>4</v>
      </c>
      <c r="N173" s="5" t="s">
        <v>593</v>
      </c>
      <c r="O173" s="3" t="s">
        <v>592</v>
      </c>
      <c r="P173" s="3" t="s">
        <v>14</v>
      </c>
      <c r="Q173" s="3">
        <v>1</v>
      </c>
      <c r="R173" s="43">
        <f>VLOOKUP('64'!O173,Malzemeler!C:D,2,0)</f>
        <v>0</v>
      </c>
      <c r="S173" s="43">
        <f t="shared" si="13"/>
        <v>0</v>
      </c>
    </row>
    <row r="174" spans="1:19" ht="34.799999999999997" x14ac:dyDescent="0.35">
      <c r="A174" s="34" t="s">
        <v>721</v>
      </c>
      <c r="B174" s="1">
        <v>64</v>
      </c>
      <c r="C174" s="1" t="s">
        <v>698</v>
      </c>
      <c r="D174" s="1" t="s">
        <v>698</v>
      </c>
      <c r="E174" s="1" t="s">
        <v>698</v>
      </c>
      <c r="F174" s="1" t="s">
        <v>698</v>
      </c>
      <c r="G174" s="1" t="s">
        <v>698</v>
      </c>
      <c r="H174" s="1" t="s">
        <v>698</v>
      </c>
      <c r="I174" s="1">
        <v>1</v>
      </c>
      <c r="J174" s="1">
        <f t="shared" si="15"/>
        <v>1</v>
      </c>
      <c r="L174" s="1" t="s">
        <v>721</v>
      </c>
      <c r="M174" s="7">
        <v>1</v>
      </c>
      <c r="N174" s="5" t="s">
        <v>668</v>
      </c>
      <c r="O174" s="3" t="s">
        <v>669</v>
      </c>
      <c r="P174" s="3" t="s">
        <v>14</v>
      </c>
      <c r="Q174" s="3">
        <v>1</v>
      </c>
      <c r="R174" s="43">
        <f>VLOOKUP('64'!O174,Malzemeler!C:D,2,0)</f>
        <v>0</v>
      </c>
      <c r="S174" s="43">
        <f t="shared" si="13"/>
        <v>0</v>
      </c>
    </row>
  </sheetData>
  <mergeCells count="5">
    <mergeCell ref="A169:A173"/>
    <mergeCell ref="A131:A151"/>
    <mergeCell ref="A152:A168"/>
    <mergeCell ref="A96:A126"/>
    <mergeCell ref="A3:A95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5A24B-58C1-42EB-9275-CCBD00A47165}">
  <sheetPr codeName="Sayfa12"/>
  <dimension ref="A1:X181"/>
  <sheetViews>
    <sheetView topLeftCell="G115" zoomScale="85" zoomScaleNormal="85" workbookViewId="0">
      <selection activeCell="O147" sqref="O147"/>
    </sheetView>
  </sheetViews>
  <sheetFormatPr defaultColWidth="8.6640625" defaultRowHeight="15" x14ac:dyDescent="0.35"/>
  <cols>
    <col min="1" max="1" width="5.21875" style="1" customWidth="1"/>
    <col min="2" max="2" width="6.88671875" style="1" bestFit="1" customWidth="1"/>
    <col min="3" max="3" width="5.6640625" style="1" bestFit="1" customWidth="1"/>
    <col min="4" max="4" width="14.44140625" style="1" bestFit="1" customWidth="1"/>
    <col min="5" max="5" width="12.109375" style="1" bestFit="1" customWidth="1"/>
    <col min="6" max="6" width="17.44140625" style="1" bestFit="1" customWidth="1"/>
    <col min="7" max="7" width="10.44140625" style="1" bestFit="1" customWidth="1"/>
    <col min="8" max="8" width="9.109375" style="1" bestFit="1" customWidth="1"/>
    <col min="9" max="9" width="7.44140625" style="1" bestFit="1" customWidth="1"/>
    <col min="10" max="11" width="5.21875" style="1" customWidth="1"/>
    <col min="12" max="12" width="32.88671875" style="1" customWidth="1"/>
    <col min="13" max="13" width="4.21875" style="2" customWidth="1"/>
    <col min="14" max="14" width="89.77734375" style="1" customWidth="1"/>
    <col min="15" max="15" width="27.44140625" style="3" customWidth="1"/>
    <col min="16" max="16" width="6.88671875" style="3" customWidth="1"/>
    <col min="17" max="17" width="8.88671875" style="3" customWidth="1"/>
    <col min="18" max="18" width="13.77734375" style="1" bestFit="1" customWidth="1"/>
    <col min="19" max="19" width="16" style="1" bestFit="1" customWidth="1"/>
    <col min="20" max="20" width="8.6640625" style="1" customWidth="1"/>
    <col min="21" max="21" width="8.6640625" style="1"/>
    <col min="22" max="22" width="4.21875" style="1" bestFit="1" customWidth="1"/>
    <col min="23" max="23" width="41.6640625" style="1" bestFit="1" customWidth="1"/>
    <col min="24" max="24" width="18" style="1" bestFit="1" customWidth="1"/>
    <col min="25" max="25" width="7.21875" style="1" bestFit="1" customWidth="1"/>
    <col min="26" max="26" width="9.109375" style="1" bestFit="1" customWidth="1"/>
    <col min="27" max="16384" width="8.6640625" style="1"/>
  </cols>
  <sheetData>
    <row r="1" spans="1:23" x14ac:dyDescent="0.35">
      <c r="B1" s="5" t="s">
        <v>493</v>
      </c>
      <c r="C1" s="5" t="s">
        <v>571</v>
      </c>
      <c r="D1" s="5" t="s">
        <v>569</v>
      </c>
      <c r="E1" s="5" t="s">
        <v>570</v>
      </c>
      <c r="F1" s="5" t="s">
        <v>581</v>
      </c>
      <c r="G1" s="5" t="s">
        <v>599</v>
      </c>
      <c r="H1" s="5" t="s">
        <v>600</v>
      </c>
      <c r="I1" s="5" t="s">
        <v>601</v>
      </c>
      <c r="N1" s="4" t="s">
        <v>427</v>
      </c>
    </row>
    <row r="2" spans="1:23" x14ac:dyDescent="0.35">
      <c r="B2" s="1">
        <v>90</v>
      </c>
      <c r="C2" s="1" t="s">
        <v>698</v>
      </c>
      <c r="D2" s="1" t="s">
        <v>698</v>
      </c>
      <c r="E2" s="1" t="s">
        <v>698</v>
      </c>
      <c r="F2" s="1" t="s">
        <v>698</v>
      </c>
      <c r="G2" s="1" t="s">
        <v>698</v>
      </c>
      <c r="H2" s="1" t="s">
        <v>698</v>
      </c>
      <c r="I2" s="1" t="s">
        <v>698</v>
      </c>
      <c r="J2" s="1">
        <f>SUBTOTAL(103,B2)</f>
        <v>1</v>
      </c>
      <c r="M2" s="8" t="s">
        <v>1</v>
      </c>
      <c r="N2" s="9" t="s">
        <v>2</v>
      </c>
      <c r="O2" s="9" t="s">
        <v>3</v>
      </c>
      <c r="P2" s="9" t="s">
        <v>4</v>
      </c>
      <c r="Q2" s="9" t="s">
        <v>5</v>
      </c>
      <c r="R2" s="9" t="s">
        <v>739</v>
      </c>
      <c r="S2" s="9" t="s">
        <v>740</v>
      </c>
    </row>
    <row r="3" spans="1:23" ht="15" customHeight="1" x14ac:dyDescent="0.35">
      <c r="A3" s="104" t="s">
        <v>723</v>
      </c>
      <c r="B3" s="1">
        <v>90</v>
      </c>
      <c r="C3" s="1" t="s">
        <v>698</v>
      </c>
      <c r="D3" s="1" t="s">
        <v>698</v>
      </c>
      <c r="E3" s="1" t="s">
        <v>698</v>
      </c>
      <c r="F3" s="1" t="s">
        <v>698</v>
      </c>
      <c r="G3" s="1" t="s">
        <v>698</v>
      </c>
      <c r="H3" s="1" t="s">
        <v>698</v>
      </c>
      <c r="I3" s="1" t="s">
        <v>698</v>
      </c>
      <c r="J3" s="1">
        <f>SUBTOTAL(103,B3)</f>
        <v>1</v>
      </c>
      <c r="L3" s="1" t="s">
        <v>723</v>
      </c>
      <c r="M3" s="7">
        <v>1</v>
      </c>
      <c r="N3" s="5" t="s">
        <v>428</v>
      </c>
      <c r="O3" s="3" t="s">
        <v>498</v>
      </c>
      <c r="P3" s="3" t="s">
        <v>14</v>
      </c>
      <c r="Q3" s="3">
        <v>1</v>
      </c>
      <c r="R3" s="43">
        <f>VLOOKUP('90'!O3,Malzemeler!C:D,2,0)</f>
        <v>2702.18</v>
      </c>
      <c r="S3" s="43">
        <f>+R3*Q3</f>
        <v>2702.18</v>
      </c>
    </row>
    <row r="4" spans="1:23" x14ac:dyDescent="0.35">
      <c r="A4" s="104"/>
      <c r="B4" s="1">
        <v>90</v>
      </c>
      <c r="C4" s="1" t="s">
        <v>698</v>
      </c>
      <c r="D4" s="1" t="s">
        <v>698</v>
      </c>
      <c r="E4" s="1" t="s">
        <v>698</v>
      </c>
      <c r="F4" s="1" t="s">
        <v>698</v>
      </c>
      <c r="G4" s="1" t="s">
        <v>698</v>
      </c>
      <c r="H4" s="1" t="s">
        <v>698</v>
      </c>
      <c r="I4" s="1" t="s">
        <v>698</v>
      </c>
      <c r="J4" s="1">
        <f t="shared" ref="J4:J23" si="0">SUBTOTAL(103,B4)</f>
        <v>1</v>
      </c>
      <c r="L4" s="1" t="s">
        <v>723</v>
      </c>
      <c r="M4" s="7">
        <v>2</v>
      </c>
      <c r="N4" s="5" t="s">
        <v>407</v>
      </c>
      <c r="O4" s="3" t="s">
        <v>550</v>
      </c>
      <c r="P4" s="3" t="s">
        <v>14</v>
      </c>
      <c r="Q4" s="3">
        <v>1</v>
      </c>
      <c r="R4" s="43">
        <f>VLOOKUP('90'!O4,Malzemeler!C:D,2,0)</f>
        <v>62.83</v>
      </c>
      <c r="S4" s="43">
        <f t="shared" ref="S4:S66" si="1">+R4*Q4</f>
        <v>62.83</v>
      </c>
    </row>
    <row r="5" spans="1:23" x14ac:dyDescent="0.35">
      <c r="A5" s="104"/>
      <c r="B5" s="1">
        <v>90</v>
      </c>
      <c r="C5" s="1" t="s">
        <v>698</v>
      </c>
      <c r="D5" s="1" t="s">
        <v>698</v>
      </c>
      <c r="E5" s="1" t="s">
        <v>698</v>
      </c>
      <c r="F5" s="1" t="s">
        <v>698</v>
      </c>
      <c r="G5" s="1" t="s">
        <v>698</v>
      </c>
      <c r="H5" s="1" t="s">
        <v>698</v>
      </c>
      <c r="I5" s="1" t="s">
        <v>698</v>
      </c>
      <c r="J5" s="1">
        <f t="shared" si="0"/>
        <v>1</v>
      </c>
      <c r="L5" s="1" t="s">
        <v>723</v>
      </c>
      <c r="M5" s="7">
        <v>3</v>
      </c>
      <c r="N5" s="5" t="s">
        <v>408</v>
      </c>
      <c r="O5" s="3" t="s">
        <v>508</v>
      </c>
      <c r="P5" s="3" t="s">
        <v>14</v>
      </c>
      <c r="Q5" s="3">
        <v>1</v>
      </c>
      <c r="R5" s="43">
        <f>VLOOKUP('90'!O5,Malzemeler!C:D,2,0)</f>
        <v>31.8</v>
      </c>
      <c r="S5" s="43">
        <f t="shared" si="1"/>
        <v>31.8</v>
      </c>
    </row>
    <row r="6" spans="1:23" x14ac:dyDescent="0.35">
      <c r="A6" s="104"/>
      <c r="B6" s="1">
        <v>90</v>
      </c>
      <c r="C6" s="1" t="s">
        <v>698</v>
      </c>
      <c r="D6" s="1" t="s">
        <v>698</v>
      </c>
      <c r="E6" s="1" t="s">
        <v>698</v>
      </c>
      <c r="F6" s="1" t="s">
        <v>698</v>
      </c>
      <c r="G6" s="1" t="s">
        <v>698</v>
      </c>
      <c r="H6" s="1" t="s">
        <v>698</v>
      </c>
      <c r="I6" s="1" t="s">
        <v>698</v>
      </c>
      <c r="J6" s="1">
        <f t="shared" si="0"/>
        <v>1</v>
      </c>
      <c r="L6" s="1" t="s">
        <v>723</v>
      </c>
      <c r="M6" s="7">
        <v>4</v>
      </c>
      <c r="N6" s="5" t="s">
        <v>409</v>
      </c>
      <c r="O6" s="3" t="s">
        <v>514</v>
      </c>
      <c r="P6" s="3" t="s">
        <v>14</v>
      </c>
      <c r="Q6" s="3">
        <v>1</v>
      </c>
      <c r="R6" s="43">
        <f>VLOOKUP('90'!O6,Malzemeler!C:D,2,0)</f>
        <v>25.5</v>
      </c>
      <c r="S6" s="43">
        <f t="shared" si="1"/>
        <v>25.5</v>
      </c>
    </row>
    <row r="7" spans="1:23" x14ac:dyDescent="0.35">
      <c r="A7" s="104"/>
      <c r="B7" s="1">
        <v>90</v>
      </c>
      <c r="C7" s="1" t="s">
        <v>698</v>
      </c>
      <c r="D7" s="1" t="s">
        <v>698</v>
      </c>
      <c r="E7" s="1" t="s">
        <v>698</v>
      </c>
      <c r="F7" s="1" t="s">
        <v>698</v>
      </c>
      <c r="G7" s="1" t="s">
        <v>698</v>
      </c>
      <c r="H7" s="1" t="s">
        <v>698</v>
      </c>
      <c r="I7" s="1" t="s">
        <v>698</v>
      </c>
      <c r="J7" s="1">
        <f t="shared" si="0"/>
        <v>1</v>
      </c>
      <c r="L7" s="1" t="s">
        <v>723</v>
      </c>
      <c r="M7" s="7">
        <v>5</v>
      </c>
      <c r="N7" s="5" t="s">
        <v>410</v>
      </c>
      <c r="O7" s="3" t="s">
        <v>519</v>
      </c>
      <c r="P7" s="3" t="s">
        <v>14</v>
      </c>
      <c r="Q7" s="3">
        <v>1</v>
      </c>
      <c r="R7" s="43">
        <f>VLOOKUP('90'!O7,Malzemeler!C:D,2,0)</f>
        <v>38.85</v>
      </c>
      <c r="S7" s="43">
        <f t="shared" si="1"/>
        <v>38.85</v>
      </c>
    </row>
    <row r="8" spans="1:23" x14ac:dyDescent="0.35">
      <c r="A8" s="104"/>
      <c r="B8" s="1">
        <v>90</v>
      </c>
      <c r="C8" s="1" t="s">
        <v>698</v>
      </c>
      <c r="D8" s="1" t="s">
        <v>698</v>
      </c>
      <c r="E8" s="1" t="s">
        <v>698</v>
      </c>
      <c r="F8" s="1" t="s">
        <v>698</v>
      </c>
      <c r="G8" s="1" t="s">
        <v>698</v>
      </c>
      <c r="H8" s="1" t="s">
        <v>698</v>
      </c>
      <c r="I8" s="1" t="s">
        <v>698</v>
      </c>
      <c r="J8" s="1">
        <f t="shared" si="0"/>
        <v>1</v>
      </c>
      <c r="L8" s="1" t="s">
        <v>723</v>
      </c>
      <c r="M8" s="7">
        <v>6</v>
      </c>
      <c r="N8" s="5" t="s">
        <v>712</v>
      </c>
      <c r="O8" s="3" t="s">
        <v>714</v>
      </c>
      <c r="P8" s="3" t="s">
        <v>14</v>
      </c>
      <c r="Q8" s="3">
        <v>2</v>
      </c>
      <c r="R8" s="43">
        <f>VLOOKUP('90'!O8,Malzemeler!C:D,2,0)</f>
        <v>0</v>
      </c>
      <c r="S8" s="43">
        <f t="shared" si="1"/>
        <v>0</v>
      </c>
    </row>
    <row r="9" spans="1:23" x14ac:dyDescent="0.35">
      <c r="A9" s="104"/>
      <c r="B9" s="1">
        <v>90</v>
      </c>
      <c r="C9" s="1" t="s">
        <v>698</v>
      </c>
      <c r="D9" s="1" t="s">
        <v>698</v>
      </c>
      <c r="E9" s="1" t="s">
        <v>698</v>
      </c>
      <c r="F9" s="1" t="s">
        <v>698</v>
      </c>
      <c r="G9" s="1" t="s">
        <v>698</v>
      </c>
      <c r="H9" s="1" t="s">
        <v>698</v>
      </c>
      <c r="I9" s="1" t="s">
        <v>698</v>
      </c>
      <c r="J9" s="1">
        <f t="shared" si="0"/>
        <v>1</v>
      </c>
      <c r="L9" s="1" t="s">
        <v>723</v>
      </c>
      <c r="M9" s="7">
        <v>7</v>
      </c>
      <c r="N9" s="1" t="s">
        <v>717</v>
      </c>
      <c r="O9" s="3" t="s">
        <v>718</v>
      </c>
      <c r="P9" s="3" t="s">
        <v>14</v>
      </c>
      <c r="Q9" s="3">
        <v>1</v>
      </c>
      <c r="R9" s="43">
        <f>VLOOKUP('90'!O9,Malzemeler!C:D,2,0)</f>
        <v>0</v>
      </c>
      <c r="S9" s="43">
        <f t="shared" si="1"/>
        <v>0</v>
      </c>
    </row>
    <row r="10" spans="1:23" x14ac:dyDescent="0.35">
      <c r="A10" s="104"/>
      <c r="B10" s="1">
        <v>90</v>
      </c>
      <c r="C10" s="1" t="s">
        <v>698</v>
      </c>
      <c r="D10" s="1" t="s">
        <v>698</v>
      </c>
      <c r="E10" s="1" t="s">
        <v>698</v>
      </c>
      <c r="F10" s="1" t="s">
        <v>698</v>
      </c>
      <c r="G10" s="1" t="s">
        <v>698</v>
      </c>
      <c r="H10" s="1" t="s">
        <v>698</v>
      </c>
      <c r="I10" s="1" t="s">
        <v>698</v>
      </c>
      <c r="J10" s="1">
        <f t="shared" si="0"/>
        <v>1</v>
      </c>
      <c r="L10" s="1" t="s">
        <v>723</v>
      </c>
      <c r="M10" s="7">
        <v>8</v>
      </c>
      <c r="N10" s="1" t="s">
        <v>63</v>
      </c>
      <c r="O10" s="3" t="s">
        <v>74</v>
      </c>
      <c r="P10" s="3" t="s">
        <v>14</v>
      </c>
      <c r="Q10" s="3">
        <v>1</v>
      </c>
      <c r="R10" s="43">
        <f>VLOOKUP('90'!O10,Malzemeler!C:D,2,0)</f>
        <v>16.149999999999999</v>
      </c>
      <c r="S10" s="43">
        <f t="shared" si="1"/>
        <v>16.149999999999999</v>
      </c>
    </row>
    <row r="11" spans="1:23" x14ac:dyDescent="0.35">
      <c r="A11" s="104"/>
      <c r="B11" s="1">
        <v>90</v>
      </c>
      <c r="C11" s="1" t="s">
        <v>698</v>
      </c>
      <c r="D11" s="1" t="s">
        <v>698</v>
      </c>
      <c r="E11" s="1" t="s">
        <v>698</v>
      </c>
      <c r="F11" s="1" t="s">
        <v>698</v>
      </c>
      <c r="G11" s="1" t="s">
        <v>698</v>
      </c>
      <c r="H11" s="1" t="s">
        <v>698</v>
      </c>
      <c r="I11" s="1" t="s">
        <v>698</v>
      </c>
      <c r="J11" s="1">
        <f t="shared" si="0"/>
        <v>1</v>
      </c>
      <c r="L11" s="1" t="s">
        <v>723</v>
      </c>
      <c r="M11" s="7">
        <v>9</v>
      </c>
      <c r="N11" s="1" t="s">
        <v>445</v>
      </c>
      <c r="O11" s="3" t="s">
        <v>354</v>
      </c>
      <c r="P11" s="3" t="s">
        <v>14</v>
      </c>
      <c r="Q11" s="3">
        <v>4</v>
      </c>
      <c r="R11" s="43">
        <f>VLOOKUP('90'!O11,Malzemeler!C:D,2,0)</f>
        <v>20.8</v>
      </c>
      <c r="S11" s="43">
        <f t="shared" si="1"/>
        <v>83.2</v>
      </c>
    </row>
    <row r="12" spans="1:23" x14ac:dyDescent="0.35">
      <c r="A12" s="104"/>
      <c r="B12" s="1">
        <v>90</v>
      </c>
      <c r="C12" s="1" t="s">
        <v>698</v>
      </c>
      <c r="D12" s="1" t="s">
        <v>698</v>
      </c>
      <c r="E12" s="1" t="s">
        <v>698</v>
      </c>
      <c r="F12" s="1" t="s">
        <v>698</v>
      </c>
      <c r="G12" s="1" t="s">
        <v>698</v>
      </c>
      <c r="H12" s="1" t="s">
        <v>698</v>
      </c>
      <c r="I12" s="1" t="s">
        <v>698</v>
      </c>
      <c r="J12" s="1">
        <f t="shared" si="0"/>
        <v>1</v>
      </c>
      <c r="L12" s="1" t="s">
        <v>723</v>
      </c>
      <c r="M12" s="7">
        <v>10</v>
      </c>
      <c r="N12" s="1" t="s">
        <v>446</v>
      </c>
      <c r="O12" s="3" t="s">
        <v>399</v>
      </c>
      <c r="P12" s="3" t="s">
        <v>14</v>
      </c>
      <c r="Q12" s="3">
        <v>5.5</v>
      </c>
      <c r="R12" s="43">
        <f>VLOOKUP('90'!O12,Malzemeler!C:D,2,0)</f>
        <v>26.5</v>
      </c>
      <c r="S12" s="43">
        <f t="shared" si="1"/>
        <v>145.75</v>
      </c>
    </row>
    <row r="13" spans="1:23" x14ac:dyDescent="0.35">
      <c r="A13" s="104"/>
      <c r="B13" s="1">
        <v>90</v>
      </c>
      <c r="C13" s="1" t="s">
        <v>698</v>
      </c>
      <c r="D13" s="1" t="s">
        <v>698</v>
      </c>
      <c r="E13" s="1" t="s">
        <v>698</v>
      </c>
      <c r="F13" s="1" t="s">
        <v>698</v>
      </c>
      <c r="G13" s="1" t="s">
        <v>698</v>
      </c>
      <c r="H13" s="1" t="s">
        <v>698</v>
      </c>
      <c r="I13" s="1" t="s">
        <v>698</v>
      </c>
      <c r="J13" s="1">
        <f t="shared" si="0"/>
        <v>1</v>
      </c>
      <c r="L13" s="1" t="s">
        <v>723</v>
      </c>
      <c r="M13" s="7">
        <v>11</v>
      </c>
      <c r="N13" s="1" t="s">
        <v>420</v>
      </c>
      <c r="O13" s="3" t="s">
        <v>421</v>
      </c>
      <c r="P13" s="3" t="s">
        <v>14</v>
      </c>
      <c r="Q13" s="3">
        <v>5.7</v>
      </c>
      <c r="R13" s="43">
        <f>VLOOKUP('90'!O13,Malzemeler!C:D,2,0)</f>
        <v>31.85</v>
      </c>
      <c r="S13" s="43">
        <f t="shared" si="1"/>
        <v>181.54500000000002</v>
      </c>
    </row>
    <row r="14" spans="1:23" x14ac:dyDescent="0.35">
      <c r="A14" s="104"/>
      <c r="B14" s="1">
        <v>90</v>
      </c>
      <c r="C14" s="1" t="s">
        <v>698</v>
      </c>
      <c r="D14" s="1" t="s">
        <v>698</v>
      </c>
      <c r="E14" s="1" t="s">
        <v>698</v>
      </c>
      <c r="F14" s="1" t="s">
        <v>698</v>
      </c>
      <c r="G14" s="1" t="s">
        <v>698</v>
      </c>
      <c r="H14" s="1" t="s">
        <v>698</v>
      </c>
      <c r="I14" s="1" t="s">
        <v>698</v>
      </c>
      <c r="J14" s="1">
        <f t="shared" si="0"/>
        <v>1</v>
      </c>
      <c r="L14" s="1" t="s">
        <v>723</v>
      </c>
      <c r="M14" s="7">
        <v>12</v>
      </c>
      <c r="N14" s="1" t="s">
        <v>197</v>
      </c>
      <c r="O14" s="3" t="s">
        <v>200</v>
      </c>
      <c r="P14" s="3" t="s">
        <v>14</v>
      </c>
      <c r="Q14" s="3">
        <v>5</v>
      </c>
      <c r="R14" s="43">
        <f>VLOOKUP('90'!O14,Malzemeler!C:D,2,0)</f>
        <v>0.8</v>
      </c>
      <c r="S14" s="43">
        <f t="shared" si="1"/>
        <v>4</v>
      </c>
    </row>
    <row r="15" spans="1:23" x14ac:dyDescent="0.35">
      <c r="A15" s="104"/>
      <c r="B15" s="1">
        <v>90</v>
      </c>
      <c r="C15" s="1" t="s">
        <v>698</v>
      </c>
      <c r="D15" s="1" t="s">
        <v>698</v>
      </c>
      <c r="E15" s="1" t="s">
        <v>698</v>
      </c>
      <c r="F15" s="1" t="s">
        <v>698</v>
      </c>
      <c r="G15" s="1" t="s">
        <v>698</v>
      </c>
      <c r="H15" s="1" t="s">
        <v>698</v>
      </c>
      <c r="I15" s="1" t="s">
        <v>698</v>
      </c>
      <c r="J15" s="1">
        <f t="shared" si="0"/>
        <v>1</v>
      </c>
      <c r="L15" s="1" t="s">
        <v>723</v>
      </c>
      <c r="M15" s="7">
        <v>13</v>
      </c>
      <c r="N15" s="1" t="s">
        <v>447</v>
      </c>
      <c r="O15" s="3" t="s">
        <v>448</v>
      </c>
      <c r="P15" s="3" t="s">
        <v>14</v>
      </c>
      <c r="Q15" s="3">
        <v>2</v>
      </c>
      <c r="R15" s="43">
        <f>VLOOKUP('90'!O15,Malzemeler!C:D,2,0)</f>
        <v>35</v>
      </c>
      <c r="S15" s="43">
        <f t="shared" si="1"/>
        <v>70</v>
      </c>
    </row>
    <row r="16" spans="1:23" x14ac:dyDescent="0.35">
      <c r="A16" s="104"/>
      <c r="B16" s="1">
        <v>90</v>
      </c>
      <c r="C16" s="1" t="s">
        <v>698</v>
      </c>
      <c r="D16" s="1" t="s">
        <v>698</v>
      </c>
      <c r="E16" s="1" t="s">
        <v>698</v>
      </c>
      <c r="F16" s="1" t="s">
        <v>698</v>
      </c>
      <c r="G16" s="1" t="s">
        <v>698</v>
      </c>
      <c r="H16" s="1" t="s">
        <v>698</v>
      </c>
      <c r="I16" s="1" t="s">
        <v>698</v>
      </c>
      <c r="J16" s="1">
        <f t="shared" si="0"/>
        <v>1</v>
      </c>
      <c r="L16" s="1" t="s">
        <v>723</v>
      </c>
      <c r="M16" s="7">
        <v>14</v>
      </c>
      <c r="N16" s="1" t="s">
        <v>449</v>
      </c>
      <c r="O16" s="3" t="s">
        <v>450</v>
      </c>
      <c r="P16" s="3" t="s">
        <v>14</v>
      </c>
      <c r="Q16" s="3">
        <v>2</v>
      </c>
      <c r="R16" s="43">
        <f>VLOOKUP('90'!O16,Malzemeler!C:D,2,0)</f>
        <v>30</v>
      </c>
      <c r="S16" s="43">
        <f t="shared" si="1"/>
        <v>60</v>
      </c>
      <c r="W16" s="5"/>
    </row>
    <row r="17" spans="1:24" x14ac:dyDescent="0.35">
      <c r="A17" s="104"/>
      <c r="B17" s="1">
        <v>90</v>
      </c>
      <c r="C17" s="1" t="s">
        <v>698</v>
      </c>
      <c r="D17" s="1" t="s">
        <v>698</v>
      </c>
      <c r="E17" s="1" t="s">
        <v>698</v>
      </c>
      <c r="F17" s="1" t="s">
        <v>698</v>
      </c>
      <c r="G17" s="1" t="s">
        <v>698</v>
      </c>
      <c r="H17" s="1" t="s">
        <v>698</v>
      </c>
      <c r="I17" s="1" t="s">
        <v>698</v>
      </c>
      <c r="J17" s="1">
        <f t="shared" si="0"/>
        <v>1</v>
      </c>
      <c r="L17" s="1" t="s">
        <v>723</v>
      </c>
      <c r="M17" s="7">
        <v>15</v>
      </c>
      <c r="N17" s="1" t="s">
        <v>451</v>
      </c>
      <c r="O17" s="3" t="s">
        <v>452</v>
      </c>
      <c r="P17" s="3" t="s">
        <v>14</v>
      </c>
      <c r="Q17" s="3">
        <v>1</v>
      </c>
      <c r="R17" s="43">
        <f>VLOOKUP('90'!O17,Malzemeler!C:D,2,0)</f>
        <v>61</v>
      </c>
      <c r="S17" s="43">
        <f t="shared" si="1"/>
        <v>61</v>
      </c>
      <c r="W17" s="5"/>
      <c r="X17" s="3"/>
    </row>
    <row r="18" spans="1:24" x14ac:dyDescent="0.35">
      <c r="A18" s="104"/>
      <c r="B18" s="1">
        <v>90</v>
      </c>
      <c r="C18" s="1" t="s">
        <v>698</v>
      </c>
      <c r="D18" s="1" t="s">
        <v>698</v>
      </c>
      <c r="E18" s="1" t="s">
        <v>698</v>
      </c>
      <c r="F18" s="1" t="s">
        <v>698</v>
      </c>
      <c r="G18" s="1" t="s">
        <v>698</v>
      </c>
      <c r="H18" s="1" t="s">
        <v>698</v>
      </c>
      <c r="I18" s="1" t="s">
        <v>698</v>
      </c>
      <c r="J18" s="1">
        <f t="shared" si="0"/>
        <v>1</v>
      </c>
      <c r="L18" s="1" t="s">
        <v>723</v>
      </c>
      <c r="M18" s="7">
        <v>16</v>
      </c>
      <c r="N18" s="1" t="s">
        <v>453</v>
      </c>
      <c r="O18" s="3" t="s">
        <v>454</v>
      </c>
      <c r="P18" s="3" t="s">
        <v>14</v>
      </c>
      <c r="Q18" s="3">
        <v>1</v>
      </c>
      <c r="R18" s="43">
        <f>VLOOKUP('90'!O18,Malzemeler!C:D,2,0)</f>
        <v>48</v>
      </c>
      <c r="S18" s="43">
        <f t="shared" si="1"/>
        <v>48</v>
      </c>
      <c r="W18" s="5"/>
      <c r="X18" s="3"/>
    </row>
    <row r="19" spans="1:24" x14ac:dyDescent="0.35">
      <c r="A19" s="104"/>
      <c r="B19" s="1">
        <v>90</v>
      </c>
      <c r="C19" s="1" t="s">
        <v>698</v>
      </c>
      <c r="D19" s="1" t="s">
        <v>698</v>
      </c>
      <c r="E19" s="1" t="s">
        <v>698</v>
      </c>
      <c r="F19" s="1" t="s">
        <v>698</v>
      </c>
      <c r="G19" s="1" t="s">
        <v>698</v>
      </c>
      <c r="H19" s="1" t="s">
        <v>698</v>
      </c>
      <c r="I19" s="1" t="s">
        <v>698</v>
      </c>
      <c r="J19" s="1">
        <f t="shared" si="0"/>
        <v>1</v>
      </c>
      <c r="L19" s="1" t="s">
        <v>723</v>
      </c>
      <c r="M19" s="7">
        <v>17</v>
      </c>
      <c r="N19" s="1" t="s">
        <v>455</v>
      </c>
      <c r="O19" s="3" t="s">
        <v>456</v>
      </c>
      <c r="P19" s="3" t="s">
        <v>14</v>
      </c>
      <c r="Q19" s="3">
        <v>1</v>
      </c>
      <c r="R19" s="43">
        <f>VLOOKUP('90'!O19,Malzemeler!C:D,2,0)</f>
        <v>25</v>
      </c>
      <c r="S19" s="43">
        <f t="shared" si="1"/>
        <v>25</v>
      </c>
    </row>
    <row r="20" spans="1:24" x14ac:dyDescent="0.35">
      <c r="A20" s="104"/>
      <c r="B20" s="1">
        <v>90</v>
      </c>
      <c r="C20" s="1" t="s">
        <v>698</v>
      </c>
      <c r="D20" s="1" t="s">
        <v>698</v>
      </c>
      <c r="E20" s="1" t="s">
        <v>698</v>
      </c>
      <c r="F20" s="1" t="s">
        <v>698</v>
      </c>
      <c r="G20" s="1" t="s">
        <v>698</v>
      </c>
      <c r="H20" s="1" t="s">
        <v>698</v>
      </c>
      <c r="I20" s="1" t="s">
        <v>698</v>
      </c>
      <c r="J20" s="1">
        <f t="shared" si="0"/>
        <v>1</v>
      </c>
      <c r="L20" s="1" t="s">
        <v>723</v>
      </c>
      <c r="M20" s="7">
        <v>18</v>
      </c>
      <c r="N20" s="1" t="s">
        <v>457</v>
      </c>
      <c r="O20" s="3" t="s">
        <v>458</v>
      </c>
      <c r="P20" s="3" t="s">
        <v>14</v>
      </c>
      <c r="Q20" s="3">
        <v>1</v>
      </c>
      <c r="R20" s="43">
        <f>VLOOKUP('90'!O20,Malzemeler!C:D,2,0)</f>
        <v>12</v>
      </c>
      <c r="S20" s="43">
        <f t="shared" si="1"/>
        <v>12</v>
      </c>
      <c r="W20" s="5"/>
      <c r="X20" s="3"/>
    </row>
    <row r="21" spans="1:24" x14ac:dyDescent="0.35">
      <c r="A21" s="104"/>
      <c r="B21" s="1">
        <v>90</v>
      </c>
      <c r="C21" s="1" t="s">
        <v>698</v>
      </c>
      <c r="D21" s="1" t="s">
        <v>698</v>
      </c>
      <c r="E21" s="1" t="s">
        <v>698</v>
      </c>
      <c r="F21" s="1" t="s">
        <v>698</v>
      </c>
      <c r="G21" s="1" t="s">
        <v>698</v>
      </c>
      <c r="H21" s="1" t="s">
        <v>698</v>
      </c>
      <c r="I21" s="1" t="s">
        <v>698</v>
      </c>
      <c r="J21" s="1">
        <f t="shared" si="0"/>
        <v>1</v>
      </c>
      <c r="L21" s="1" t="s">
        <v>723</v>
      </c>
      <c r="M21" s="7">
        <v>19</v>
      </c>
      <c r="N21" s="5" t="s">
        <v>402</v>
      </c>
      <c r="O21" s="3" t="s">
        <v>403</v>
      </c>
      <c r="P21" s="3" t="s">
        <v>135</v>
      </c>
      <c r="Q21" s="3">
        <v>6</v>
      </c>
      <c r="R21" s="43">
        <f>VLOOKUP('90'!O21,Malzemeler!C:D,2,0)</f>
        <v>1.6E-2</v>
      </c>
      <c r="S21" s="43">
        <f t="shared" si="1"/>
        <v>9.6000000000000002E-2</v>
      </c>
      <c r="W21" s="5"/>
      <c r="X21" s="3"/>
    </row>
    <row r="22" spans="1:24" x14ac:dyDescent="0.35">
      <c r="A22" s="104"/>
      <c r="B22" s="1">
        <v>90</v>
      </c>
      <c r="C22" s="1" t="s">
        <v>698</v>
      </c>
      <c r="D22" s="1" t="s">
        <v>698</v>
      </c>
      <c r="E22" s="1" t="s">
        <v>698</v>
      </c>
      <c r="F22" s="1" t="s">
        <v>698</v>
      </c>
      <c r="G22" s="1" t="s">
        <v>698</v>
      </c>
      <c r="H22" s="1" t="s">
        <v>698</v>
      </c>
      <c r="I22" s="1" t="s">
        <v>698</v>
      </c>
      <c r="J22" s="1">
        <f t="shared" si="0"/>
        <v>1</v>
      </c>
      <c r="L22" s="1" t="s">
        <v>723</v>
      </c>
      <c r="M22" s="7">
        <v>20</v>
      </c>
      <c r="N22" s="5" t="s">
        <v>87</v>
      </c>
      <c r="O22" s="3" t="s">
        <v>88</v>
      </c>
      <c r="P22" s="3" t="s">
        <v>14</v>
      </c>
      <c r="Q22" s="3">
        <v>0.3</v>
      </c>
      <c r="R22" s="43">
        <f>VLOOKUP('90'!O22,Malzemeler!C:D,2,0)</f>
        <v>1615.6</v>
      </c>
      <c r="S22" s="43">
        <f t="shared" si="1"/>
        <v>484.67999999999995</v>
      </c>
      <c r="W22" s="5"/>
      <c r="X22" s="3"/>
    </row>
    <row r="23" spans="1:24" x14ac:dyDescent="0.35">
      <c r="A23" s="104"/>
      <c r="B23" s="1">
        <v>90</v>
      </c>
      <c r="C23" s="1" t="s">
        <v>698</v>
      </c>
      <c r="D23" s="1" t="s">
        <v>698</v>
      </c>
      <c r="E23" s="1" t="s">
        <v>698</v>
      </c>
      <c r="F23" s="1" t="s">
        <v>698</v>
      </c>
      <c r="G23" s="1" t="s">
        <v>698</v>
      </c>
      <c r="H23" s="1" t="s">
        <v>698</v>
      </c>
      <c r="I23" s="1" t="s">
        <v>698</v>
      </c>
      <c r="J23" s="1">
        <f t="shared" si="0"/>
        <v>1</v>
      </c>
      <c r="L23" s="1" t="s">
        <v>723</v>
      </c>
      <c r="M23" s="7">
        <v>21</v>
      </c>
      <c r="N23" s="5" t="s">
        <v>69</v>
      </c>
      <c r="O23" s="3" t="s">
        <v>81</v>
      </c>
      <c r="P23" s="3" t="s">
        <v>14</v>
      </c>
      <c r="Q23" s="3">
        <v>0.5</v>
      </c>
      <c r="R23" s="43">
        <f>VLOOKUP('90'!O23,Malzemeler!C:D,2,0)</f>
        <v>40</v>
      </c>
      <c r="S23" s="43">
        <f t="shared" si="1"/>
        <v>20</v>
      </c>
      <c r="W23" s="5"/>
      <c r="X23" s="3"/>
    </row>
    <row r="24" spans="1:24" x14ac:dyDescent="0.35">
      <c r="A24" s="104"/>
      <c r="B24" s="1">
        <v>90</v>
      </c>
      <c r="C24" s="1" t="s">
        <v>698</v>
      </c>
      <c r="D24" s="1" t="s">
        <v>698</v>
      </c>
      <c r="E24" s="1" t="s">
        <v>698</v>
      </c>
      <c r="F24" s="1" t="s">
        <v>698</v>
      </c>
      <c r="G24" s="1" t="s">
        <v>698</v>
      </c>
      <c r="H24" s="1" t="s">
        <v>698</v>
      </c>
      <c r="I24" s="1" t="s">
        <v>698</v>
      </c>
      <c r="J24" s="1">
        <f t="shared" ref="J24:J29" si="2">SUBTOTAL(103,B24)</f>
        <v>1</v>
      </c>
      <c r="L24" s="1" t="s">
        <v>723</v>
      </c>
      <c r="M24" s="7">
        <v>22</v>
      </c>
      <c r="N24" s="5" t="s">
        <v>89</v>
      </c>
      <c r="O24" s="3" t="s">
        <v>75</v>
      </c>
      <c r="P24" s="3" t="s">
        <v>14</v>
      </c>
      <c r="Q24" s="3">
        <v>0.2</v>
      </c>
      <c r="R24" s="43">
        <f>VLOOKUP('90'!O24,Malzemeler!C:D,2,0)</f>
        <v>150</v>
      </c>
      <c r="S24" s="43">
        <f t="shared" si="1"/>
        <v>30</v>
      </c>
      <c r="W24" s="5"/>
      <c r="X24" s="3"/>
    </row>
    <row r="25" spans="1:24" x14ac:dyDescent="0.35">
      <c r="A25" s="104"/>
      <c r="B25" s="1">
        <v>90</v>
      </c>
      <c r="C25" s="1" t="s">
        <v>698</v>
      </c>
      <c r="D25" s="1" t="s">
        <v>698</v>
      </c>
      <c r="E25" s="1" t="s">
        <v>698</v>
      </c>
      <c r="F25" s="1" t="s">
        <v>698</v>
      </c>
      <c r="G25" s="1" t="s">
        <v>698</v>
      </c>
      <c r="H25" s="1" t="s">
        <v>698</v>
      </c>
      <c r="I25" s="1" t="s">
        <v>698</v>
      </c>
      <c r="J25" s="1">
        <f t="shared" si="2"/>
        <v>1</v>
      </c>
      <c r="L25" s="1" t="s">
        <v>723</v>
      </c>
      <c r="M25" s="7">
        <v>23</v>
      </c>
      <c r="N25" s="5" t="s">
        <v>66</v>
      </c>
      <c r="O25" s="3" t="s">
        <v>78</v>
      </c>
      <c r="P25" s="3" t="s">
        <v>14</v>
      </c>
      <c r="Q25" s="3">
        <v>0.8</v>
      </c>
      <c r="R25" s="43">
        <f>VLOOKUP('90'!O25,Malzemeler!C:D,2,0)</f>
        <v>30</v>
      </c>
      <c r="S25" s="43">
        <f t="shared" si="1"/>
        <v>24</v>
      </c>
      <c r="W25" s="5"/>
      <c r="X25" s="3"/>
    </row>
    <row r="26" spans="1:24" x14ac:dyDescent="0.35">
      <c r="A26" s="104"/>
      <c r="B26" s="1">
        <v>90</v>
      </c>
      <c r="C26" s="1" t="s">
        <v>698</v>
      </c>
      <c r="D26" s="1" t="s">
        <v>698</v>
      </c>
      <c r="E26" s="1" t="s">
        <v>698</v>
      </c>
      <c r="F26" s="1" t="s">
        <v>698</v>
      </c>
      <c r="G26" s="1" t="s">
        <v>698</v>
      </c>
      <c r="H26" s="1" t="s">
        <v>698</v>
      </c>
      <c r="I26" s="1" t="s">
        <v>698</v>
      </c>
      <c r="J26" s="1">
        <f t="shared" ref="J26" si="3">SUBTOTAL(103,B26)</f>
        <v>1</v>
      </c>
      <c r="L26" s="1" t="s">
        <v>723</v>
      </c>
      <c r="M26" s="7">
        <v>24</v>
      </c>
      <c r="N26" s="5" t="s">
        <v>65</v>
      </c>
      <c r="O26" s="3" t="s">
        <v>77</v>
      </c>
      <c r="P26" s="3" t="s">
        <v>14</v>
      </c>
      <c r="Q26" s="3">
        <v>8</v>
      </c>
      <c r="R26" s="43">
        <f>VLOOKUP('90'!O26,Malzemeler!C:D,2,0)</f>
        <v>150</v>
      </c>
      <c r="S26" s="43">
        <f t="shared" si="1"/>
        <v>1200</v>
      </c>
      <c r="W26" s="5"/>
      <c r="X26" s="3"/>
    </row>
    <row r="27" spans="1:24" x14ac:dyDescent="0.35">
      <c r="A27" s="104"/>
      <c r="B27" s="1">
        <v>90</v>
      </c>
      <c r="C27" s="1" t="s">
        <v>698</v>
      </c>
      <c r="D27" s="1" t="s">
        <v>698</v>
      </c>
      <c r="E27" s="1" t="s">
        <v>698</v>
      </c>
      <c r="F27" s="1" t="s">
        <v>698</v>
      </c>
      <c r="G27" s="1" t="s">
        <v>698</v>
      </c>
      <c r="H27" s="1" t="s">
        <v>698</v>
      </c>
      <c r="I27" s="1" t="s">
        <v>698</v>
      </c>
      <c r="J27" s="1">
        <f t="shared" si="2"/>
        <v>1</v>
      </c>
      <c r="L27" s="1" t="s">
        <v>723</v>
      </c>
      <c r="M27" s="7">
        <v>25</v>
      </c>
      <c r="N27" s="5" t="s">
        <v>390</v>
      </c>
      <c r="O27" s="3" t="s">
        <v>391</v>
      </c>
      <c r="P27" s="3" t="s">
        <v>14</v>
      </c>
      <c r="Q27" s="3">
        <v>3</v>
      </c>
      <c r="R27" s="43">
        <f>VLOOKUP('90'!O27,Malzemeler!C:D,2,0)</f>
        <v>778.9</v>
      </c>
      <c r="S27" s="43">
        <f t="shared" si="1"/>
        <v>2336.6999999999998</v>
      </c>
    </row>
    <row r="28" spans="1:24" x14ac:dyDescent="0.35">
      <c r="A28" s="104"/>
      <c r="B28" s="1">
        <v>90</v>
      </c>
      <c r="C28" s="1" t="s">
        <v>698</v>
      </c>
      <c r="D28" s="1" t="s">
        <v>698</v>
      </c>
      <c r="E28" s="1" t="s">
        <v>698</v>
      </c>
      <c r="F28" s="1" t="s">
        <v>698</v>
      </c>
      <c r="G28" s="1" t="s">
        <v>698</v>
      </c>
      <c r="H28" s="1" t="s">
        <v>698</v>
      </c>
      <c r="I28" s="1" t="s">
        <v>698</v>
      </c>
      <c r="J28" s="1">
        <f t="shared" si="2"/>
        <v>1</v>
      </c>
      <c r="L28" s="1" t="s">
        <v>723</v>
      </c>
      <c r="M28" s="7">
        <v>26</v>
      </c>
      <c r="N28" s="5" t="s">
        <v>390</v>
      </c>
      <c r="O28" s="3" t="s">
        <v>391</v>
      </c>
      <c r="P28" s="3" t="s">
        <v>14</v>
      </c>
      <c r="Q28" s="3">
        <v>3</v>
      </c>
      <c r="R28" s="43">
        <f>VLOOKUP('90'!O28,Malzemeler!C:D,2,0)</f>
        <v>778.9</v>
      </c>
      <c r="S28" s="43">
        <f t="shared" si="1"/>
        <v>2336.6999999999998</v>
      </c>
    </row>
    <row r="29" spans="1:24" x14ac:dyDescent="0.35">
      <c r="A29" s="104"/>
      <c r="B29" s="1">
        <v>90</v>
      </c>
      <c r="C29" s="1" t="s">
        <v>698</v>
      </c>
      <c r="D29" s="1" t="s">
        <v>698</v>
      </c>
      <c r="E29" s="1" t="s">
        <v>698</v>
      </c>
      <c r="F29" s="1" t="s">
        <v>698</v>
      </c>
      <c r="G29" s="1" t="s">
        <v>698</v>
      </c>
      <c r="H29" s="1" t="s">
        <v>698</v>
      </c>
      <c r="I29" s="1" t="s">
        <v>698</v>
      </c>
      <c r="J29" s="1">
        <f t="shared" si="2"/>
        <v>1</v>
      </c>
      <c r="L29" s="1" t="s">
        <v>723</v>
      </c>
      <c r="M29" s="7">
        <v>27</v>
      </c>
      <c r="N29" s="5" t="s">
        <v>429</v>
      </c>
      <c r="O29" s="3" t="s">
        <v>430</v>
      </c>
      <c r="P29" s="3" t="s">
        <v>14</v>
      </c>
      <c r="Q29" s="3">
        <v>1</v>
      </c>
      <c r="R29" s="43">
        <f>VLOOKUP('90'!O29,Malzemeler!C:D,2,0)</f>
        <v>5868.2623999999996</v>
      </c>
      <c r="S29" s="43">
        <f t="shared" si="1"/>
        <v>5868.2623999999996</v>
      </c>
    </row>
    <row r="30" spans="1:24" x14ac:dyDescent="0.35">
      <c r="A30" s="104"/>
      <c r="B30" s="1">
        <v>90</v>
      </c>
      <c r="C30" s="1" t="s">
        <v>572</v>
      </c>
      <c r="D30" s="1" t="s">
        <v>698</v>
      </c>
      <c r="E30" s="1" t="s">
        <v>698</v>
      </c>
      <c r="F30" s="1" t="s">
        <v>698</v>
      </c>
      <c r="G30" s="1" t="s">
        <v>698</v>
      </c>
      <c r="H30" s="1" t="s">
        <v>698</v>
      </c>
      <c r="I30" s="1" t="s">
        <v>698</v>
      </c>
      <c r="J30" s="1">
        <f>SUBTOTAL(103,B30)</f>
        <v>1</v>
      </c>
      <c r="L30" s="1" t="s">
        <v>748</v>
      </c>
      <c r="M30" s="7">
        <v>28</v>
      </c>
      <c r="N30" s="1" t="s">
        <v>566</v>
      </c>
      <c r="O30" s="3" t="s">
        <v>192</v>
      </c>
      <c r="P30" s="3" t="s">
        <v>14</v>
      </c>
      <c r="Q30" s="3">
        <v>1</v>
      </c>
      <c r="R30" s="43">
        <f>VLOOKUP('90'!O30,Malzemeler!C:D,2,0)</f>
        <v>410</v>
      </c>
      <c r="S30" s="43">
        <f t="shared" si="1"/>
        <v>410</v>
      </c>
    </row>
    <row r="31" spans="1:24" x14ac:dyDescent="0.35">
      <c r="A31" s="104"/>
      <c r="B31" s="1">
        <v>90</v>
      </c>
      <c r="C31" s="1" t="s">
        <v>572</v>
      </c>
      <c r="D31" s="1" t="s">
        <v>698</v>
      </c>
      <c r="E31" s="1" t="s">
        <v>698</v>
      </c>
      <c r="F31" s="1" t="s">
        <v>698</v>
      </c>
      <c r="G31" s="1" t="s">
        <v>698</v>
      </c>
      <c r="H31" s="1" t="s">
        <v>698</v>
      </c>
      <c r="I31" s="1" t="s">
        <v>698</v>
      </c>
      <c r="J31" s="1">
        <f>SUBTOTAL(103,B31)</f>
        <v>1</v>
      </c>
      <c r="L31" s="1" t="s">
        <v>748</v>
      </c>
      <c r="M31" s="7">
        <v>29</v>
      </c>
      <c r="N31" s="5" t="s">
        <v>431</v>
      </c>
      <c r="O31" s="3" t="s">
        <v>528</v>
      </c>
      <c r="P31" s="3" t="s">
        <v>14</v>
      </c>
      <c r="Q31" s="3">
        <v>1</v>
      </c>
      <c r="R31" s="43">
        <f>VLOOKUP('90'!O31,Malzemeler!C:D,2,0)</f>
        <v>2765</v>
      </c>
      <c r="S31" s="43">
        <f t="shared" si="1"/>
        <v>2765</v>
      </c>
    </row>
    <row r="32" spans="1:24" x14ac:dyDescent="0.35">
      <c r="A32" s="104"/>
      <c r="B32" s="1">
        <v>90</v>
      </c>
      <c r="C32" s="1" t="s">
        <v>572</v>
      </c>
      <c r="D32" s="1" t="s">
        <v>698</v>
      </c>
      <c r="E32" s="1" t="s">
        <v>698</v>
      </c>
      <c r="F32" s="1" t="s">
        <v>698</v>
      </c>
      <c r="G32" s="1" t="s">
        <v>698</v>
      </c>
      <c r="H32" s="1" t="s">
        <v>698</v>
      </c>
      <c r="I32" s="1" t="s">
        <v>698</v>
      </c>
      <c r="J32" s="1">
        <f>SUBTOTAL(103,B32)</f>
        <v>1</v>
      </c>
      <c r="L32" s="1" t="s">
        <v>748</v>
      </c>
      <c r="M32" s="7">
        <v>30</v>
      </c>
      <c r="N32" s="5" t="s">
        <v>432</v>
      </c>
      <c r="O32" s="3" t="s">
        <v>537</v>
      </c>
      <c r="P32" s="3" t="s">
        <v>14</v>
      </c>
      <c r="Q32" s="3">
        <v>1</v>
      </c>
      <c r="R32" s="43">
        <f>VLOOKUP('90'!O32,Malzemeler!C:D,2,0)</f>
        <v>1545</v>
      </c>
      <c r="S32" s="43">
        <f t="shared" si="1"/>
        <v>1545</v>
      </c>
    </row>
    <row r="33" spans="1:19" x14ac:dyDescent="0.35">
      <c r="A33" s="104"/>
      <c r="B33" s="1">
        <v>90</v>
      </c>
      <c r="C33" s="1" t="s">
        <v>573</v>
      </c>
      <c r="D33" s="1" t="s">
        <v>698</v>
      </c>
      <c r="E33" s="1" t="s">
        <v>698</v>
      </c>
      <c r="F33" s="1" t="s">
        <v>698</v>
      </c>
      <c r="G33" s="1" t="s">
        <v>698</v>
      </c>
      <c r="H33" s="1" t="s">
        <v>698</v>
      </c>
      <c r="I33" s="1" t="s">
        <v>698</v>
      </c>
      <c r="J33" s="1">
        <f>SUBTOTAL(103,B33)</f>
        <v>1</v>
      </c>
      <c r="L33" s="1" t="s">
        <v>749</v>
      </c>
      <c r="M33" s="7">
        <v>28</v>
      </c>
      <c r="N33" s="28" t="s">
        <v>566</v>
      </c>
      <c r="O33" s="29" t="str">
        <f>VLOOKUP(N33,Malzemeler!B:C,2,)</f>
        <v>-</v>
      </c>
      <c r="P33" s="29" t="s">
        <v>14</v>
      </c>
      <c r="Q33" s="29">
        <v>1</v>
      </c>
      <c r="R33" s="43">
        <f>VLOOKUP('90'!O33,Malzemeler!C:D,2,0)</f>
        <v>410</v>
      </c>
      <c r="S33" s="43">
        <f t="shared" si="1"/>
        <v>410</v>
      </c>
    </row>
    <row r="34" spans="1:19" x14ac:dyDescent="0.35">
      <c r="A34" s="104"/>
      <c r="B34" s="1">
        <v>90</v>
      </c>
      <c r="C34" s="1" t="s">
        <v>573</v>
      </c>
      <c r="D34" s="1" t="s">
        <v>698</v>
      </c>
      <c r="E34" s="1" t="s">
        <v>698</v>
      </c>
      <c r="F34" s="1" t="s">
        <v>698</v>
      </c>
      <c r="G34" s="1" t="s">
        <v>698</v>
      </c>
      <c r="H34" s="1" t="s">
        <v>698</v>
      </c>
      <c r="I34" s="1" t="s">
        <v>698</v>
      </c>
      <c r="J34" s="1">
        <v>1</v>
      </c>
      <c r="L34" s="1" t="s">
        <v>749</v>
      </c>
      <c r="M34" s="7">
        <v>29</v>
      </c>
      <c r="N34" s="66" t="s">
        <v>431</v>
      </c>
      <c r="O34" s="29" t="s">
        <v>701</v>
      </c>
      <c r="P34" s="29" t="s">
        <v>14</v>
      </c>
      <c r="Q34" s="29">
        <v>1</v>
      </c>
      <c r="R34" s="43" t="e">
        <f>VLOOKUP('90'!O34,Malzemeler!C:D,2,0)</f>
        <v>#N/A</v>
      </c>
      <c r="S34" s="43" t="e">
        <f t="shared" si="1"/>
        <v>#N/A</v>
      </c>
    </row>
    <row r="35" spans="1:19" x14ac:dyDescent="0.35">
      <c r="A35" s="104"/>
      <c r="B35" s="1">
        <v>90</v>
      </c>
      <c r="C35" s="1" t="s">
        <v>573</v>
      </c>
      <c r="D35" s="1" t="s">
        <v>698</v>
      </c>
      <c r="E35" s="1" t="s">
        <v>698</v>
      </c>
      <c r="F35" s="1" t="s">
        <v>698</v>
      </c>
      <c r="G35" s="1" t="s">
        <v>698</v>
      </c>
      <c r="H35" s="1" t="s">
        <v>698</v>
      </c>
      <c r="I35" s="1" t="s">
        <v>698</v>
      </c>
      <c r="J35" s="1">
        <v>1</v>
      </c>
      <c r="L35" s="1" t="s">
        <v>749</v>
      </c>
      <c r="M35" s="7">
        <v>30</v>
      </c>
      <c r="N35" s="66" t="s">
        <v>432</v>
      </c>
      <c r="O35" s="29" t="s">
        <v>701</v>
      </c>
      <c r="P35" s="29" t="s">
        <v>14</v>
      </c>
      <c r="Q35" s="29">
        <v>1</v>
      </c>
      <c r="R35" s="43" t="e">
        <f>VLOOKUP('90'!O35,Malzemeler!C:D,2,0)</f>
        <v>#N/A</v>
      </c>
      <c r="S35" s="43" t="e">
        <f t="shared" si="1"/>
        <v>#N/A</v>
      </c>
    </row>
    <row r="36" spans="1:19" x14ac:dyDescent="0.35">
      <c r="A36" s="104"/>
      <c r="B36" s="1">
        <v>90</v>
      </c>
      <c r="C36" s="1" t="s">
        <v>698</v>
      </c>
      <c r="D36" s="1" t="s">
        <v>698</v>
      </c>
      <c r="E36" s="1" t="s">
        <v>698</v>
      </c>
      <c r="F36" s="1" t="s">
        <v>698</v>
      </c>
      <c r="G36" s="1" t="s">
        <v>698</v>
      </c>
      <c r="H36" s="1" t="s">
        <v>698</v>
      </c>
      <c r="I36" s="1" t="s">
        <v>698</v>
      </c>
      <c r="J36" s="1">
        <f>SUBTOTAL(103,B36)</f>
        <v>1</v>
      </c>
      <c r="L36" s="1" t="s">
        <v>723</v>
      </c>
      <c r="M36" s="7">
        <v>31</v>
      </c>
      <c r="N36" s="5" t="s">
        <v>633</v>
      </c>
      <c r="O36" s="3" t="s">
        <v>633</v>
      </c>
      <c r="P36" s="3" t="s">
        <v>14</v>
      </c>
      <c r="Q36" s="10">
        <v>16</v>
      </c>
      <c r="R36" s="43">
        <f>VLOOKUP('90'!O36,Malzemeler!C:D,2,0)</f>
        <v>0</v>
      </c>
      <c r="S36" s="43">
        <f t="shared" si="1"/>
        <v>0</v>
      </c>
    </row>
    <row r="37" spans="1:19" x14ac:dyDescent="0.35">
      <c r="A37" s="104"/>
      <c r="B37" s="1">
        <v>90</v>
      </c>
      <c r="C37" s="1" t="s">
        <v>698</v>
      </c>
      <c r="D37" s="1" t="s">
        <v>698</v>
      </c>
      <c r="E37" s="1" t="s">
        <v>698</v>
      </c>
      <c r="F37" s="1" t="s">
        <v>698</v>
      </c>
      <c r="G37" s="1" t="s">
        <v>698</v>
      </c>
      <c r="H37" s="1" t="s">
        <v>698</v>
      </c>
      <c r="I37" s="1" t="s">
        <v>698</v>
      </c>
      <c r="J37" s="1">
        <f>SUBTOTAL(103,B37)</f>
        <v>1</v>
      </c>
      <c r="L37" s="1" t="s">
        <v>723</v>
      </c>
      <c r="M37" s="7">
        <v>32</v>
      </c>
      <c r="N37" s="5" t="s">
        <v>634</v>
      </c>
      <c r="O37" s="3" t="s">
        <v>634</v>
      </c>
      <c r="P37" s="3" t="s">
        <v>14</v>
      </c>
      <c r="Q37" s="10">
        <v>40</v>
      </c>
      <c r="R37" s="43">
        <f>VLOOKUP('90'!O37,Malzemeler!C:D,2,0)</f>
        <v>0</v>
      </c>
      <c r="S37" s="43">
        <f t="shared" si="1"/>
        <v>0</v>
      </c>
    </row>
    <row r="38" spans="1:19" x14ac:dyDescent="0.35">
      <c r="A38" s="104"/>
      <c r="B38" s="1">
        <v>90</v>
      </c>
      <c r="C38" s="1" t="s">
        <v>698</v>
      </c>
      <c r="D38" s="1" t="s">
        <v>698</v>
      </c>
      <c r="E38" s="1" t="s">
        <v>698</v>
      </c>
      <c r="F38" s="1" t="s">
        <v>698</v>
      </c>
      <c r="G38" s="1" t="s">
        <v>698</v>
      </c>
      <c r="H38" s="1" t="s">
        <v>698</v>
      </c>
      <c r="I38" s="1" t="s">
        <v>698</v>
      </c>
      <c r="J38" s="1">
        <f>SUBTOTAL(103,B38)</f>
        <v>1</v>
      </c>
      <c r="L38" s="1" t="s">
        <v>723</v>
      </c>
      <c r="M38" s="7">
        <v>33</v>
      </c>
      <c r="N38" s="5" t="s">
        <v>635</v>
      </c>
      <c r="O38" s="3" t="s">
        <v>635</v>
      </c>
      <c r="P38" s="3" t="s">
        <v>14</v>
      </c>
      <c r="Q38" s="10">
        <v>31</v>
      </c>
      <c r="R38" s="43">
        <f>VLOOKUP('90'!O38,Malzemeler!C:D,2,0)</f>
        <v>0</v>
      </c>
      <c r="S38" s="43">
        <f t="shared" si="1"/>
        <v>0</v>
      </c>
    </row>
    <row r="39" spans="1:19" x14ac:dyDescent="0.35">
      <c r="A39" s="104"/>
      <c r="B39" s="1">
        <v>90</v>
      </c>
      <c r="C39" s="1" t="s">
        <v>698</v>
      </c>
      <c r="D39" s="1" t="s">
        <v>698</v>
      </c>
      <c r="E39" s="1" t="s">
        <v>698</v>
      </c>
      <c r="F39" s="1" t="s">
        <v>698</v>
      </c>
      <c r="G39" s="1" t="s">
        <v>698</v>
      </c>
      <c r="H39" s="1" t="s">
        <v>698</v>
      </c>
      <c r="I39" s="1" t="s">
        <v>698</v>
      </c>
      <c r="J39" s="1">
        <f t="shared" ref="J39:J69" si="4">SUBTOTAL(103,B39)</f>
        <v>1</v>
      </c>
      <c r="L39" s="1" t="s">
        <v>723</v>
      </c>
      <c r="M39" s="7">
        <v>34</v>
      </c>
      <c r="N39" s="5" t="s">
        <v>636</v>
      </c>
      <c r="O39" s="3" t="s">
        <v>636</v>
      </c>
      <c r="P39" s="3" t="s">
        <v>14</v>
      </c>
      <c r="Q39" s="10">
        <v>16</v>
      </c>
      <c r="R39" s="43">
        <f>VLOOKUP('90'!O39,Malzemeler!C:D,2,0)</f>
        <v>0</v>
      </c>
      <c r="S39" s="43">
        <f t="shared" si="1"/>
        <v>0</v>
      </c>
    </row>
    <row r="40" spans="1:19" x14ac:dyDescent="0.35">
      <c r="A40" s="104"/>
      <c r="B40" s="1">
        <v>90</v>
      </c>
      <c r="C40" s="1" t="s">
        <v>698</v>
      </c>
      <c r="D40" s="1" t="s">
        <v>698</v>
      </c>
      <c r="E40" s="1" t="s">
        <v>698</v>
      </c>
      <c r="F40" s="1" t="s">
        <v>698</v>
      </c>
      <c r="G40" s="1" t="s">
        <v>698</v>
      </c>
      <c r="H40" s="1" t="s">
        <v>698</v>
      </c>
      <c r="I40" s="1" t="s">
        <v>698</v>
      </c>
      <c r="J40" s="1">
        <f t="shared" si="4"/>
        <v>1</v>
      </c>
      <c r="L40" s="1" t="s">
        <v>723</v>
      </c>
      <c r="M40" s="7">
        <v>35</v>
      </c>
      <c r="N40" s="5" t="s">
        <v>221</v>
      </c>
      <c r="O40" s="3" t="s">
        <v>222</v>
      </c>
      <c r="P40" s="3" t="s">
        <v>14</v>
      </c>
      <c r="Q40" s="10">
        <v>1433.1693599999999</v>
      </c>
      <c r="R40" s="43">
        <f>VLOOKUP('90'!O40,Malzemeler!C:D,2,0)</f>
        <v>1.07</v>
      </c>
      <c r="S40" s="43">
        <f t="shared" si="1"/>
        <v>1533.4912151999999</v>
      </c>
    </row>
    <row r="41" spans="1:19" x14ac:dyDescent="0.35">
      <c r="A41" s="104"/>
      <c r="B41" s="1">
        <v>90</v>
      </c>
      <c r="C41" s="1" t="s">
        <v>698</v>
      </c>
      <c r="D41" s="1" t="s">
        <v>698</v>
      </c>
      <c r="E41" s="1" t="s">
        <v>698</v>
      </c>
      <c r="F41" s="1" t="s">
        <v>698</v>
      </c>
      <c r="G41" s="1" t="s">
        <v>698</v>
      </c>
      <c r="H41" s="1" t="s">
        <v>698</v>
      </c>
      <c r="I41" s="1" t="s">
        <v>698</v>
      </c>
      <c r="J41" s="1">
        <f t="shared" si="4"/>
        <v>1</v>
      </c>
      <c r="L41" s="1" t="s">
        <v>723</v>
      </c>
      <c r="M41" s="7">
        <v>36</v>
      </c>
      <c r="N41" s="5" t="s">
        <v>637</v>
      </c>
      <c r="O41" s="3" t="s">
        <v>655</v>
      </c>
      <c r="P41" s="3" t="s">
        <v>14</v>
      </c>
      <c r="Q41" s="10">
        <v>11.2948</v>
      </c>
      <c r="R41" s="43">
        <f>VLOOKUP('90'!O41,Malzemeler!C:D,2,0)</f>
        <v>0</v>
      </c>
      <c r="S41" s="43">
        <f t="shared" si="1"/>
        <v>0</v>
      </c>
    </row>
    <row r="42" spans="1:19" x14ac:dyDescent="0.35">
      <c r="A42" s="104"/>
      <c r="B42" s="1">
        <v>90</v>
      </c>
      <c r="C42" s="1" t="s">
        <v>698</v>
      </c>
      <c r="D42" s="1" t="s">
        <v>698</v>
      </c>
      <c r="E42" s="1" t="s">
        <v>698</v>
      </c>
      <c r="F42" s="1" t="s">
        <v>698</v>
      </c>
      <c r="G42" s="1" t="s">
        <v>698</v>
      </c>
      <c r="H42" s="1" t="s">
        <v>698</v>
      </c>
      <c r="I42" s="1" t="s">
        <v>698</v>
      </c>
      <c r="J42" s="1">
        <f t="shared" si="4"/>
        <v>1</v>
      </c>
      <c r="L42" s="1" t="s">
        <v>723</v>
      </c>
      <c r="M42" s="7">
        <v>37</v>
      </c>
      <c r="N42" s="5" t="s">
        <v>223</v>
      </c>
      <c r="O42" s="3" t="s">
        <v>224</v>
      </c>
      <c r="P42" s="3" t="s">
        <v>14</v>
      </c>
      <c r="Q42" s="10">
        <v>11.7096</v>
      </c>
      <c r="R42" s="43">
        <f>VLOOKUP('90'!O42,Malzemeler!C:D,2,0)</f>
        <v>1.23</v>
      </c>
      <c r="S42" s="43">
        <f t="shared" si="1"/>
        <v>14.402808</v>
      </c>
    </row>
    <row r="43" spans="1:19" x14ac:dyDescent="0.35">
      <c r="A43" s="104"/>
      <c r="B43" s="1">
        <v>90</v>
      </c>
      <c r="C43" s="1" t="s">
        <v>698</v>
      </c>
      <c r="D43" s="1" t="s">
        <v>698</v>
      </c>
      <c r="E43" s="1" t="s">
        <v>698</v>
      </c>
      <c r="F43" s="1" t="s">
        <v>698</v>
      </c>
      <c r="G43" s="1" t="s">
        <v>698</v>
      </c>
      <c r="H43" s="1" t="s">
        <v>698</v>
      </c>
      <c r="I43" s="1" t="s">
        <v>698</v>
      </c>
      <c r="J43" s="1">
        <f t="shared" si="4"/>
        <v>1</v>
      </c>
      <c r="L43" s="1" t="s">
        <v>723</v>
      </c>
      <c r="M43" s="7">
        <v>38</v>
      </c>
      <c r="N43" s="5" t="s">
        <v>227</v>
      </c>
      <c r="O43" s="3" t="s">
        <v>97</v>
      </c>
      <c r="P43" s="3" t="s">
        <v>14</v>
      </c>
      <c r="Q43" s="10">
        <v>168.69904467199999</v>
      </c>
      <c r="R43" s="43">
        <f>VLOOKUP('90'!O43,Malzemeler!C:D,2,0)</f>
        <v>0.8</v>
      </c>
      <c r="S43" s="43">
        <f t="shared" si="1"/>
        <v>134.95923573759998</v>
      </c>
    </row>
    <row r="44" spans="1:19" x14ac:dyDescent="0.35">
      <c r="A44" s="104"/>
      <c r="B44" s="1">
        <v>90</v>
      </c>
      <c r="C44" s="1" t="s">
        <v>698</v>
      </c>
      <c r="D44" s="1" t="s">
        <v>698</v>
      </c>
      <c r="E44" s="1" t="s">
        <v>698</v>
      </c>
      <c r="F44" s="1" t="s">
        <v>698</v>
      </c>
      <c r="G44" s="1" t="s">
        <v>698</v>
      </c>
      <c r="H44" s="1" t="s">
        <v>698</v>
      </c>
      <c r="I44" s="1" t="s">
        <v>698</v>
      </c>
      <c r="J44" s="1">
        <f t="shared" si="4"/>
        <v>1</v>
      </c>
      <c r="L44" s="1" t="s">
        <v>723</v>
      </c>
      <c r="M44" s="7">
        <v>39</v>
      </c>
      <c r="N44" s="5" t="s">
        <v>228</v>
      </c>
      <c r="O44" s="3" t="s">
        <v>229</v>
      </c>
      <c r="P44" s="3" t="s">
        <v>14</v>
      </c>
      <c r="Q44" s="10">
        <v>393.55952000000002</v>
      </c>
      <c r="R44" s="43">
        <f>VLOOKUP('90'!O44,Malzemeler!C:D,2,0)</f>
        <v>0.79</v>
      </c>
      <c r="S44" s="43">
        <f t="shared" si="1"/>
        <v>310.91202080000005</v>
      </c>
    </row>
    <row r="45" spans="1:19" x14ac:dyDescent="0.35">
      <c r="A45" s="104"/>
      <c r="B45" s="1">
        <v>90</v>
      </c>
      <c r="C45" s="1" t="s">
        <v>698</v>
      </c>
      <c r="D45" s="1" t="s">
        <v>698</v>
      </c>
      <c r="E45" s="1" t="s">
        <v>698</v>
      </c>
      <c r="F45" s="1" t="s">
        <v>698</v>
      </c>
      <c r="G45" s="1" t="s">
        <v>698</v>
      </c>
      <c r="H45" s="1" t="s">
        <v>698</v>
      </c>
      <c r="I45" s="1" t="s">
        <v>698</v>
      </c>
      <c r="J45" s="1">
        <f t="shared" si="4"/>
        <v>1</v>
      </c>
      <c r="L45" s="1" t="s">
        <v>723</v>
      </c>
      <c r="M45" s="7">
        <v>40</v>
      </c>
      <c r="N45" s="5" t="s">
        <v>438</v>
      </c>
      <c r="O45" s="3" t="s">
        <v>231</v>
      </c>
      <c r="P45" s="3" t="s">
        <v>14</v>
      </c>
      <c r="Q45" s="10">
        <v>81.60689030399999</v>
      </c>
      <c r="R45" s="43">
        <f>VLOOKUP('90'!O45,Malzemeler!C:D,2,0)</f>
        <v>0.85</v>
      </c>
      <c r="S45" s="43">
        <f t="shared" si="1"/>
        <v>69.365856758399985</v>
      </c>
    </row>
    <row r="46" spans="1:19" x14ac:dyDescent="0.35">
      <c r="A46" s="104"/>
      <c r="B46" s="1">
        <v>90</v>
      </c>
      <c r="C46" s="1" t="s">
        <v>698</v>
      </c>
      <c r="D46" s="1" t="s">
        <v>698</v>
      </c>
      <c r="E46" s="1" t="s">
        <v>698</v>
      </c>
      <c r="F46" s="1" t="s">
        <v>698</v>
      </c>
      <c r="G46" s="1" t="s">
        <v>698</v>
      </c>
      <c r="H46" s="1" t="s">
        <v>698</v>
      </c>
      <c r="I46" s="1" t="s">
        <v>698</v>
      </c>
      <c r="J46" s="1">
        <f t="shared" si="4"/>
        <v>1</v>
      </c>
      <c r="L46" s="1" t="s">
        <v>723</v>
      </c>
      <c r="M46" s="7">
        <v>41</v>
      </c>
      <c r="N46" s="5" t="s">
        <v>234</v>
      </c>
      <c r="O46" s="3" t="s">
        <v>235</v>
      </c>
      <c r="P46" s="3" t="s">
        <v>14</v>
      </c>
      <c r="Q46" s="10">
        <v>45.750150000000005</v>
      </c>
      <c r="R46" s="43">
        <f>VLOOKUP('90'!O46,Malzemeler!C:D,2,0)</f>
        <v>2.3199999999999998</v>
      </c>
      <c r="S46" s="43">
        <f t="shared" si="1"/>
        <v>106.140348</v>
      </c>
    </row>
    <row r="47" spans="1:19" x14ac:dyDescent="0.35">
      <c r="A47" s="104"/>
      <c r="B47" s="1">
        <v>90</v>
      </c>
      <c r="C47" s="1" t="s">
        <v>698</v>
      </c>
      <c r="D47" s="1" t="s">
        <v>698</v>
      </c>
      <c r="E47" s="1" t="s">
        <v>698</v>
      </c>
      <c r="F47" s="1" t="s">
        <v>698</v>
      </c>
      <c r="G47" s="1" t="s">
        <v>698</v>
      </c>
      <c r="H47" s="1" t="s">
        <v>698</v>
      </c>
      <c r="I47" s="1" t="s">
        <v>698</v>
      </c>
      <c r="J47" s="1">
        <f t="shared" si="4"/>
        <v>1</v>
      </c>
      <c r="L47" s="1" t="s">
        <v>723</v>
      </c>
      <c r="M47" s="7">
        <v>42</v>
      </c>
      <c r="N47" s="5" t="s">
        <v>638</v>
      </c>
      <c r="O47" s="3" t="s">
        <v>656</v>
      </c>
      <c r="P47" s="3" t="s">
        <v>14</v>
      </c>
      <c r="Q47" s="10">
        <v>7.0686</v>
      </c>
      <c r="R47" s="43">
        <f>VLOOKUP('90'!O47,Malzemeler!C:D,2,0)</f>
        <v>0</v>
      </c>
      <c r="S47" s="43">
        <f t="shared" si="1"/>
        <v>0</v>
      </c>
    </row>
    <row r="48" spans="1:19" x14ac:dyDescent="0.35">
      <c r="A48" s="104"/>
      <c r="B48" s="1">
        <v>90</v>
      </c>
      <c r="C48" s="1" t="s">
        <v>698</v>
      </c>
      <c r="D48" s="1" t="s">
        <v>698</v>
      </c>
      <c r="E48" s="1" t="s">
        <v>698</v>
      </c>
      <c r="F48" s="1" t="s">
        <v>698</v>
      </c>
      <c r="G48" s="1" t="s">
        <v>698</v>
      </c>
      <c r="H48" s="1" t="s">
        <v>698</v>
      </c>
      <c r="I48" s="1" t="s">
        <v>698</v>
      </c>
      <c r="J48" s="1">
        <f t="shared" si="4"/>
        <v>1</v>
      </c>
      <c r="L48" s="1" t="s">
        <v>723</v>
      </c>
      <c r="M48" s="7">
        <v>43</v>
      </c>
      <c r="N48" s="5" t="s">
        <v>90</v>
      </c>
      <c r="O48" s="3" t="s">
        <v>91</v>
      </c>
      <c r="P48" s="3" t="s">
        <v>14</v>
      </c>
      <c r="Q48" s="10">
        <v>67.291399999999996</v>
      </c>
      <c r="R48" s="43">
        <f>VLOOKUP('90'!O48,Malzemeler!C:D,2,0)</f>
        <v>1.27</v>
      </c>
      <c r="S48" s="43">
        <f t="shared" si="1"/>
        <v>85.460077999999996</v>
      </c>
    </row>
    <row r="49" spans="1:19" x14ac:dyDescent="0.35">
      <c r="A49" s="104"/>
      <c r="B49" s="1">
        <v>90</v>
      </c>
      <c r="C49" s="1" t="s">
        <v>698</v>
      </c>
      <c r="D49" s="1" t="s">
        <v>698</v>
      </c>
      <c r="E49" s="1" t="s">
        <v>698</v>
      </c>
      <c r="F49" s="1" t="s">
        <v>698</v>
      </c>
      <c r="G49" s="1" t="s">
        <v>698</v>
      </c>
      <c r="H49" s="1" t="s">
        <v>698</v>
      </c>
      <c r="I49" s="1" t="s">
        <v>698</v>
      </c>
      <c r="J49" s="1">
        <f t="shared" si="4"/>
        <v>1</v>
      </c>
      <c r="L49" s="1" t="s">
        <v>723</v>
      </c>
      <c r="M49" s="7">
        <v>44</v>
      </c>
      <c r="N49" s="5" t="s">
        <v>92</v>
      </c>
      <c r="O49" s="3" t="s">
        <v>93</v>
      </c>
      <c r="P49" s="3" t="s">
        <v>14</v>
      </c>
      <c r="Q49" s="10">
        <v>18.616399999999999</v>
      </c>
      <c r="R49" s="43">
        <f>VLOOKUP('90'!O49,Malzemeler!C:D,2,0)</f>
        <v>1.74</v>
      </c>
      <c r="S49" s="43">
        <f t="shared" si="1"/>
        <v>32.392536</v>
      </c>
    </row>
    <row r="50" spans="1:19" x14ac:dyDescent="0.35">
      <c r="A50" s="104"/>
      <c r="B50" s="1">
        <v>90</v>
      </c>
      <c r="C50" s="1" t="s">
        <v>698</v>
      </c>
      <c r="D50" s="1" t="s">
        <v>698</v>
      </c>
      <c r="E50" s="1" t="s">
        <v>698</v>
      </c>
      <c r="F50" s="1" t="s">
        <v>698</v>
      </c>
      <c r="G50" s="1" t="s">
        <v>698</v>
      </c>
      <c r="H50" s="1" t="s">
        <v>698</v>
      </c>
      <c r="I50" s="1" t="s">
        <v>698</v>
      </c>
      <c r="J50" s="1">
        <f t="shared" si="4"/>
        <v>1</v>
      </c>
      <c r="L50" s="1" t="s">
        <v>723</v>
      </c>
      <c r="M50" s="7">
        <v>45</v>
      </c>
      <c r="N50" s="5" t="s">
        <v>238</v>
      </c>
      <c r="O50" s="3" t="s">
        <v>239</v>
      </c>
      <c r="P50" s="3" t="s">
        <v>14</v>
      </c>
      <c r="Q50" s="10">
        <v>71.836600000000004</v>
      </c>
      <c r="R50" s="43">
        <f>VLOOKUP('90'!O50,Malzemeler!C:D,2,0)</f>
        <v>1.95</v>
      </c>
      <c r="S50" s="43">
        <f t="shared" si="1"/>
        <v>140.08136999999999</v>
      </c>
    </row>
    <row r="51" spans="1:19" x14ac:dyDescent="0.35">
      <c r="A51" s="104"/>
      <c r="B51" s="1">
        <v>90</v>
      </c>
      <c r="C51" s="1" t="s">
        <v>698</v>
      </c>
      <c r="D51" s="1" t="s">
        <v>698</v>
      </c>
      <c r="E51" s="1" t="s">
        <v>698</v>
      </c>
      <c r="F51" s="1" t="s">
        <v>698</v>
      </c>
      <c r="G51" s="1" t="s">
        <v>698</v>
      </c>
      <c r="H51" s="1" t="s">
        <v>698</v>
      </c>
      <c r="I51" s="1" t="s">
        <v>698</v>
      </c>
      <c r="J51" s="1">
        <f t="shared" si="4"/>
        <v>1</v>
      </c>
      <c r="L51" s="1" t="s">
        <v>723</v>
      </c>
      <c r="M51" s="7">
        <v>46</v>
      </c>
      <c r="N51" s="5" t="s">
        <v>240</v>
      </c>
      <c r="O51" s="3" t="s">
        <v>241</v>
      </c>
      <c r="P51" s="3" t="s">
        <v>14</v>
      </c>
      <c r="Q51" s="10">
        <v>97.518300000000011</v>
      </c>
      <c r="R51" s="43">
        <f>VLOOKUP('90'!O51,Malzemeler!C:D,2,0)</f>
        <v>4.4000000000000004</v>
      </c>
      <c r="S51" s="43">
        <f t="shared" si="1"/>
        <v>429.08052000000009</v>
      </c>
    </row>
    <row r="52" spans="1:19" x14ac:dyDescent="0.35">
      <c r="A52" s="104"/>
      <c r="B52" s="1">
        <v>90</v>
      </c>
      <c r="C52" s="1" t="s">
        <v>698</v>
      </c>
      <c r="D52" s="1" t="s">
        <v>698</v>
      </c>
      <c r="E52" s="1" t="s">
        <v>698</v>
      </c>
      <c r="F52" s="1" t="s">
        <v>698</v>
      </c>
      <c r="G52" s="1" t="s">
        <v>698</v>
      </c>
      <c r="H52" s="1" t="s">
        <v>698</v>
      </c>
      <c r="I52" s="1" t="s">
        <v>698</v>
      </c>
      <c r="J52" s="1">
        <f t="shared" si="4"/>
        <v>1</v>
      </c>
      <c r="L52" s="1" t="s">
        <v>723</v>
      </c>
      <c r="M52" s="7">
        <v>47</v>
      </c>
      <c r="N52" s="5" t="s">
        <v>370</v>
      </c>
      <c r="O52" s="3" t="s">
        <v>371</v>
      </c>
      <c r="P52" s="3" t="s">
        <v>14</v>
      </c>
      <c r="Q52" s="10">
        <v>7.5075000000000003</v>
      </c>
      <c r="R52" s="43">
        <f>VLOOKUP('90'!O52,Malzemeler!C:D,2,0)</f>
        <v>4.4000000000000004</v>
      </c>
      <c r="S52" s="43">
        <f t="shared" si="1"/>
        <v>33.033000000000001</v>
      </c>
    </row>
    <row r="53" spans="1:19" x14ac:dyDescent="0.35">
      <c r="A53" s="104"/>
      <c r="B53" s="1">
        <v>90</v>
      </c>
      <c r="C53" s="1" t="s">
        <v>698</v>
      </c>
      <c r="D53" s="1" t="s">
        <v>698</v>
      </c>
      <c r="E53" s="1" t="s">
        <v>698</v>
      </c>
      <c r="F53" s="1" t="s">
        <v>698</v>
      </c>
      <c r="G53" s="1" t="s">
        <v>698</v>
      </c>
      <c r="H53" s="1" t="s">
        <v>698</v>
      </c>
      <c r="I53" s="1" t="s">
        <v>698</v>
      </c>
      <c r="J53" s="1">
        <f t="shared" si="4"/>
        <v>1</v>
      </c>
      <c r="L53" s="1" t="s">
        <v>723</v>
      </c>
      <c r="M53" s="7">
        <v>48</v>
      </c>
      <c r="N53" s="5" t="s">
        <v>242</v>
      </c>
      <c r="O53" s="3" t="s">
        <v>243</v>
      </c>
      <c r="P53" s="3" t="s">
        <v>14</v>
      </c>
      <c r="Q53" s="10">
        <v>20.469899999999999</v>
      </c>
      <c r="R53" s="43">
        <f>VLOOKUP('90'!O53,Malzemeler!C:D,2,0)</f>
        <v>4.4000000000000004</v>
      </c>
      <c r="S53" s="43">
        <f t="shared" si="1"/>
        <v>90.06756</v>
      </c>
    </row>
    <row r="54" spans="1:19" x14ac:dyDescent="0.35">
      <c r="A54" s="104"/>
      <c r="B54" s="1">
        <v>90</v>
      </c>
      <c r="C54" s="1" t="s">
        <v>698</v>
      </c>
      <c r="D54" s="1" t="s">
        <v>698</v>
      </c>
      <c r="E54" s="1" t="s">
        <v>698</v>
      </c>
      <c r="F54" s="1" t="s">
        <v>698</v>
      </c>
      <c r="G54" s="1" t="s">
        <v>698</v>
      </c>
      <c r="H54" s="1" t="s">
        <v>698</v>
      </c>
      <c r="I54" s="1" t="s">
        <v>698</v>
      </c>
      <c r="J54" s="1">
        <f t="shared" si="4"/>
        <v>1</v>
      </c>
      <c r="L54" s="1" t="s">
        <v>723</v>
      </c>
      <c r="M54" s="7">
        <v>49</v>
      </c>
      <c r="N54" s="5" t="s">
        <v>244</v>
      </c>
      <c r="O54" s="3" t="s">
        <v>245</v>
      </c>
      <c r="P54" s="3" t="s">
        <v>14</v>
      </c>
      <c r="Q54" s="10">
        <v>16.174399999999999</v>
      </c>
      <c r="R54" s="43">
        <f>VLOOKUP('90'!O54,Malzemeler!C:D,2,0)</f>
        <v>4.4000000000000004</v>
      </c>
      <c r="S54" s="43">
        <f t="shared" si="1"/>
        <v>71.167360000000002</v>
      </c>
    </row>
    <row r="55" spans="1:19" x14ac:dyDescent="0.35">
      <c r="A55" s="104"/>
      <c r="B55" s="1">
        <v>90</v>
      </c>
      <c r="C55" s="1" t="s">
        <v>698</v>
      </c>
      <c r="D55" s="1" t="s">
        <v>698</v>
      </c>
      <c r="E55" s="1" t="s">
        <v>698</v>
      </c>
      <c r="F55" s="1" t="s">
        <v>698</v>
      </c>
      <c r="G55" s="1" t="s">
        <v>698</v>
      </c>
      <c r="H55" s="1" t="s">
        <v>698</v>
      </c>
      <c r="I55" s="1" t="s">
        <v>698</v>
      </c>
      <c r="J55" s="1">
        <f t="shared" si="4"/>
        <v>1</v>
      </c>
      <c r="L55" s="1" t="s">
        <v>723</v>
      </c>
      <c r="M55" s="7">
        <v>50</v>
      </c>
      <c r="N55" s="5" t="s">
        <v>246</v>
      </c>
      <c r="O55" s="3" t="s">
        <v>247</v>
      </c>
      <c r="P55" s="3" t="s">
        <v>14</v>
      </c>
      <c r="Q55" s="10">
        <v>16.924599999999998</v>
      </c>
      <c r="R55" s="43">
        <f>VLOOKUP('90'!O55,Malzemeler!C:D,2,0)</f>
        <v>4.4000000000000004</v>
      </c>
      <c r="S55" s="43">
        <f t="shared" si="1"/>
        <v>74.468239999999994</v>
      </c>
    </row>
    <row r="56" spans="1:19" x14ac:dyDescent="0.35">
      <c r="A56" s="104"/>
      <c r="B56" s="1">
        <v>90</v>
      </c>
      <c r="C56" s="1" t="s">
        <v>698</v>
      </c>
      <c r="D56" s="1" t="s">
        <v>698</v>
      </c>
      <c r="E56" s="1" t="s">
        <v>698</v>
      </c>
      <c r="F56" s="1" t="s">
        <v>698</v>
      </c>
      <c r="G56" s="1" t="s">
        <v>698</v>
      </c>
      <c r="H56" s="1" t="s">
        <v>698</v>
      </c>
      <c r="I56" s="1" t="s">
        <v>698</v>
      </c>
      <c r="J56" s="1">
        <f t="shared" si="4"/>
        <v>1</v>
      </c>
      <c r="L56" s="1" t="s">
        <v>723</v>
      </c>
      <c r="M56" s="7">
        <v>51</v>
      </c>
      <c r="N56" s="5" t="s">
        <v>248</v>
      </c>
      <c r="O56" s="3" t="s">
        <v>249</v>
      </c>
      <c r="P56" s="3" t="s">
        <v>14</v>
      </c>
      <c r="Q56" s="10">
        <v>46.175799999999995</v>
      </c>
      <c r="R56" s="43">
        <f>VLOOKUP('90'!O56,Malzemeler!C:D,2,0)</f>
        <v>2.36</v>
      </c>
      <c r="S56" s="43">
        <f t="shared" si="1"/>
        <v>108.97488799999998</v>
      </c>
    </row>
    <row r="57" spans="1:19" x14ac:dyDescent="0.35">
      <c r="A57" s="104"/>
      <c r="B57" s="1">
        <v>90</v>
      </c>
      <c r="C57" s="1" t="s">
        <v>698</v>
      </c>
      <c r="D57" s="1" t="s">
        <v>698</v>
      </c>
      <c r="E57" s="1" t="s">
        <v>698</v>
      </c>
      <c r="F57" s="1" t="s">
        <v>698</v>
      </c>
      <c r="G57" s="1" t="s">
        <v>698</v>
      </c>
      <c r="H57" s="1" t="s">
        <v>698</v>
      </c>
      <c r="I57" s="1" t="s">
        <v>698</v>
      </c>
      <c r="J57" s="1">
        <f t="shared" si="4"/>
        <v>1</v>
      </c>
      <c r="L57" s="1" t="s">
        <v>723</v>
      </c>
      <c r="M57" s="7">
        <v>52</v>
      </c>
      <c r="N57" s="5" t="s">
        <v>250</v>
      </c>
      <c r="O57" s="3" t="s">
        <v>251</v>
      </c>
      <c r="P57" s="3" t="s">
        <v>14</v>
      </c>
      <c r="Q57" s="10">
        <v>10.511999999999999</v>
      </c>
      <c r="R57" s="43">
        <f>VLOOKUP('90'!O57,Malzemeler!C:D,2,0)</f>
        <v>1.88</v>
      </c>
      <c r="S57" s="43">
        <f t="shared" si="1"/>
        <v>19.762559999999997</v>
      </c>
    </row>
    <row r="58" spans="1:19" x14ac:dyDescent="0.35">
      <c r="A58" s="104"/>
      <c r="B58" s="1">
        <v>90</v>
      </c>
      <c r="C58" s="1" t="s">
        <v>698</v>
      </c>
      <c r="D58" s="1" t="s">
        <v>698</v>
      </c>
      <c r="E58" s="1" t="s">
        <v>698</v>
      </c>
      <c r="F58" s="1" t="s">
        <v>698</v>
      </c>
      <c r="G58" s="1" t="s">
        <v>698</v>
      </c>
      <c r="H58" s="1" t="s">
        <v>698</v>
      </c>
      <c r="I58" s="1" t="s">
        <v>698</v>
      </c>
      <c r="J58" s="1">
        <f t="shared" si="4"/>
        <v>1</v>
      </c>
      <c r="L58" s="1" t="s">
        <v>723</v>
      </c>
      <c r="M58" s="7">
        <v>53</v>
      </c>
      <c r="N58" s="5" t="s">
        <v>252</v>
      </c>
      <c r="O58" s="3" t="s">
        <v>253</v>
      </c>
      <c r="P58" s="3" t="s">
        <v>14</v>
      </c>
      <c r="Q58" s="10">
        <v>105.88234</v>
      </c>
      <c r="R58" s="43">
        <f>VLOOKUP('90'!O58,Malzemeler!C:D,2,0)</f>
        <v>1.04</v>
      </c>
      <c r="S58" s="43">
        <f t="shared" si="1"/>
        <v>110.1176336</v>
      </c>
    </row>
    <row r="59" spans="1:19" x14ac:dyDescent="0.35">
      <c r="A59" s="104"/>
      <c r="B59" s="1">
        <v>90</v>
      </c>
      <c r="C59" s="1" t="s">
        <v>698</v>
      </c>
      <c r="D59" s="1" t="s">
        <v>698</v>
      </c>
      <c r="E59" s="1" t="s">
        <v>698</v>
      </c>
      <c r="F59" s="1" t="s">
        <v>698</v>
      </c>
      <c r="G59" s="1" t="s">
        <v>698</v>
      </c>
      <c r="H59" s="1" t="s">
        <v>698</v>
      </c>
      <c r="I59" s="1" t="s">
        <v>698</v>
      </c>
      <c r="J59" s="1">
        <f t="shared" si="4"/>
        <v>1</v>
      </c>
      <c r="L59" s="1" t="s">
        <v>723</v>
      </c>
      <c r="M59" s="7">
        <v>54</v>
      </c>
      <c r="N59" s="5" t="s">
        <v>254</v>
      </c>
      <c r="O59" s="3" t="s">
        <v>255</v>
      </c>
      <c r="P59" s="3" t="s">
        <v>14</v>
      </c>
      <c r="Q59" s="10">
        <v>9.9088000000000012</v>
      </c>
      <c r="R59" s="43">
        <f>VLOOKUP('90'!O59,Malzemeler!C:D,2,0)</f>
        <v>0.76</v>
      </c>
      <c r="S59" s="43">
        <f t="shared" si="1"/>
        <v>7.5306880000000014</v>
      </c>
    </row>
    <row r="60" spans="1:19" x14ac:dyDescent="0.35">
      <c r="A60" s="104"/>
      <c r="B60" s="1">
        <v>90</v>
      </c>
      <c r="C60" s="1" t="s">
        <v>698</v>
      </c>
      <c r="D60" s="1" t="s">
        <v>698</v>
      </c>
      <c r="E60" s="1" t="s">
        <v>698</v>
      </c>
      <c r="F60" s="1" t="s">
        <v>698</v>
      </c>
      <c r="G60" s="1" t="s">
        <v>698</v>
      </c>
      <c r="H60" s="1" t="s">
        <v>698</v>
      </c>
      <c r="I60" s="1" t="s">
        <v>698</v>
      </c>
      <c r="J60" s="1">
        <f t="shared" si="4"/>
        <v>1</v>
      </c>
      <c r="L60" s="1" t="s">
        <v>723</v>
      </c>
      <c r="M60" s="7">
        <v>55</v>
      </c>
      <c r="N60" s="5" t="s">
        <v>256</v>
      </c>
      <c r="O60" s="3" t="s">
        <v>257</v>
      </c>
      <c r="P60" s="3" t="s">
        <v>14</v>
      </c>
      <c r="Q60" s="10">
        <v>24.9392</v>
      </c>
      <c r="R60" s="43">
        <f>VLOOKUP('90'!O60,Malzemeler!C:D,2,0)</f>
        <v>0.7</v>
      </c>
      <c r="S60" s="43">
        <f t="shared" si="1"/>
        <v>17.457439999999998</v>
      </c>
    </row>
    <row r="61" spans="1:19" x14ac:dyDescent="0.35">
      <c r="A61" s="104"/>
      <c r="B61" s="1">
        <v>90</v>
      </c>
      <c r="C61" s="1" t="s">
        <v>698</v>
      </c>
      <c r="D61" s="1" t="s">
        <v>698</v>
      </c>
      <c r="E61" s="1" t="s">
        <v>698</v>
      </c>
      <c r="F61" s="1" t="s">
        <v>698</v>
      </c>
      <c r="G61" s="1" t="s">
        <v>698</v>
      </c>
      <c r="H61" s="1" t="s">
        <v>698</v>
      </c>
      <c r="I61" s="1" t="s">
        <v>698</v>
      </c>
      <c r="J61" s="1">
        <f t="shared" si="4"/>
        <v>1</v>
      </c>
      <c r="L61" s="1" t="s">
        <v>723</v>
      </c>
      <c r="M61" s="7">
        <v>56</v>
      </c>
      <c r="N61" s="5" t="s">
        <v>110</v>
      </c>
      <c r="O61" s="3" t="s">
        <v>111</v>
      </c>
      <c r="P61" s="3" t="s">
        <v>14</v>
      </c>
      <c r="Q61" s="10">
        <v>306.20699999999999</v>
      </c>
      <c r="R61" s="43">
        <f>VLOOKUP('90'!O61,Malzemeler!C:D,2,0)</f>
        <v>1.1200000000000001</v>
      </c>
      <c r="S61" s="43">
        <f t="shared" si="1"/>
        <v>342.95184</v>
      </c>
    </row>
    <row r="62" spans="1:19" x14ac:dyDescent="0.35">
      <c r="A62" s="104"/>
      <c r="B62" s="1">
        <v>90</v>
      </c>
      <c r="C62" s="1" t="s">
        <v>698</v>
      </c>
      <c r="D62" s="1" t="s">
        <v>698</v>
      </c>
      <c r="E62" s="1" t="s">
        <v>698</v>
      </c>
      <c r="F62" s="1" t="s">
        <v>698</v>
      </c>
      <c r="G62" s="1" t="s">
        <v>698</v>
      </c>
      <c r="H62" s="1" t="s">
        <v>698</v>
      </c>
      <c r="I62" s="1" t="s">
        <v>698</v>
      </c>
      <c r="J62" s="1">
        <f t="shared" si="4"/>
        <v>1</v>
      </c>
      <c r="L62" s="1" t="s">
        <v>723</v>
      </c>
      <c r="M62" s="7">
        <v>57</v>
      </c>
      <c r="N62" s="5" t="s">
        <v>258</v>
      </c>
      <c r="O62" s="3" t="s">
        <v>157</v>
      </c>
      <c r="P62" s="3" t="s">
        <v>14</v>
      </c>
      <c r="Q62" s="10">
        <v>69.507000000000005</v>
      </c>
      <c r="R62" s="43">
        <f>VLOOKUP('90'!O62,Malzemeler!C:D,2,0)</f>
        <v>3</v>
      </c>
      <c r="S62" s="43">
        <f t="shared" si="1"/>
        <v>208.52100000000002</v>
      </c>
    </row>
    <row r="63" spans="1:19" x14ac:dyDescent="0.35">
      <c r="A63" s="104"/>
      <c r="B63" s="1">
        <v>90</v>
      </c>
      <c r="C63" s="1" t="s">
        <v>698</v>
      </c>
      <c r="D63" s="1" t="s">
        <v>698</v>
      </c>
      <c r="E63" s="1" t="s">
        <v>698</v>
      </c>
      <c r="F63" s="1" t="s">
        <v>698</v>
      </c>
      <c r="G63" s="1" t="s">
        <v>698</v>
      </c>
      <c r="H63" s="1" t="s">
        <v>698</v>
      </c>
      <c r="I63" s="1" t="s">
        <v>698</v>
      </c>
      <c r="J63" s="1">
        <f t="shared" si="4"/>
        <v>1</v>
      </c>
      <c r="L63" s="1" t="s">
        <v>723</v>
      </c>
      <c r="M63" s="7">
        <v>58</v>
      </c>
      <c r="N63" s="5" t="s">
        <v>259</v>
      </c>
      <c r="O63" s="3" t="s">
        <v>260</v>
      </c>
      <c r="P63" s="3" t="s">
        <v>14</v>
      </c>
      <c r="Q63" s="10">
        <v>12.539000000000001</v>
      </c>
      <c r="R63" s="43">
        <f>VLOOKUP('90'!O63,Malzemeler!C:D,2,0)</f>
        <v>3</v>
      </c>
      <c r="S63" s="43">
        <f t="shared" si="1"/>
        <v>37.617000000000004</v>
      </c>
    </row>
    <row r="64" spans="1:19" x14ac:dyDescent="0.35">
      <c r="A64" s="104"/>
      <c r="B64" s="1">
        <v>90</v>
      </c>
      <c r="C64" s="1" t="s">
        <v>698</v>
      </c>
      <c r="D64" s="1" t="s">
        <v>698</v>
      </c>
      <c r="E64" s="1" t="s">
        <v>698</v>
      </c>
      <c r="F64" s="1" t="s">
        <v>698</v>
      </c>
      <c r="G64" s="1" t="s">
        <v>698</v>
      </c>
      <c r="H64" s="1" t="s">
        <v>698</v>
      </c>
      <c r="I64" s="1" t="s">
        <v>698</v>
      </c>
      <c r="J64" s="1">
        <f t="shared" si="4"/>
        <v>1</v>
      </c>
      <c r="L64" s="1" t="s">
        <v>723</v>
      </c>
      <c r="M64" s="7">
        <v>59</v>
      </c>
      <c r="N64" s="5" t="s">
        <v>652</v>
      </c>
      <c r="O64" s="3" t="s">
        <v>666</v>
      </c>
      <c r="P64" s="3" t="s">
        <v>14</v>
      </c>
      <c r="Q64" s="10">
        <v>4</v>
      </c>
      <c r="R64" s="43">
        <f>VLOOKUP('90'!O64,Malzemeler!C:D,2,0)</f>
        <v>0</v>
      </c>
      <c r="S64" s="43">
        <f t="shared" si="1"/>
        <v>0</v>
      </c>
    </row>
    <row r="65" spans="1:19" x14ac:dyDescent="0.35">
      <c r="A65" s="104"/>
      <c r="B65" s="1">
        <v>90</v>
      </c>
      <c r="C65" s="1" t="s">
        <v>698</v>
      </c>
      <c r="D65" s="1" t="s">
        <v>698</v>
      </c>
      <c r="E65" s="1" t="s">
        <v>698</v>
      </c>
      <c r="F65" s="1" t="s">
        <v>698</v>
      </c>
      <c r="G65" s="1" t="s">
        <v>698</v>
      </c>
      <c r="H65" s="1" t="s">
        <v>698</v>
      </c>
      <c r="I65" s="1" t="s">
        <v>698</v>
      </c>
      <c r="J65" s="1">
        <f t="shared" si="4"/>
        <v>1</v>
      </c>
      <c r="L65" s="1" t="s">
        <v>723</v>
      </c>
      <c r="M65" s="7">
        <v>60</v>
      </c>
      <c r="N65" s="5" t="s">
        <v>653</v>
      </c>
      <c r="O65" s="3" t="s">
        <v>667</v>
      </c>
      <c r="P65" s="3" t="s">
        <v>14</v>
      </c>
      <c r="Q65" s="10">
        <v>4</v>
      </c>
      <c r="R65" s="43">
        <f>VLOOKUP('90'!O65,Malzemeler!C:D,2,0)</f>
        <v>0</v>
      </c>
      <c r="S65" s="43">
        <f t="shared" si="1"/>
        <v>0</v>
      </c>
    </row>
    <row r="66" spans="1:19" x14ac:dyDescent="0.35">
      <c r="A66" s="104"/>
      <c r="B66" s="1">
        <v>90</v>
      </c>
      <c r="C66" s="1" t="s">
        <v>698</v>
      </c>
      <c r="D66" s="1" t="s">
        <v>698</v>
      </c>
      <c r="E66" s="1" t="s">
        <v>698</v>
      </c>
      <c r="F66" s="1" t="s">
        <v>698</v>
      </c>
      <c r="G66" s="1" t="s">
        <v>698</v>
      </c>
      <c r="H66" s="1" t="s">
        <v>698</v>
      </c>
      <c r="I66" s="1" t="s">
        <v>698</v>
      </c>
      <c r="J66" s="1">
        <f t="shared" si="4"/>
        <v>1</v>
      </c>
      <c r="L66" s="1" t="s">
        <v>723</v>
      </c>
      <c r="M66" s="7">
        <v>61</v>
      </c>
      <c r="N66" s="5" t="s">
        <v>639</v>
      </c>
      <c r="O66" s="3" t="s">
        <v>657</v>
      </c>
      <c r="P66" s="3" t="s">
        <v>14</v>
      </c>
      <c r="Q66" s="10">
        <v>80</v>
      </c>
      <c r="R66" s="43">
        <f>VLOOKUP('90'!O66,Malzemeler!C:D,2,0)</f>
        <v>0</v>
      </c>
      <c r="S66" s="43">
        <f t="shared" si="1"/>
        <v>0</v>
      </c>
    </row>
    <row r="67" spans="1:19" x14ac:dyDescent="0.35">
      <c r="A67" s="104"/>
      <c r="B67" s="1">
        <v>90</v>
      </c>
      <c r="C67" s="1" t="s">
        <v>698</v>
      </c>
      <c r="D67" s="1" t="s">
        <v>698</v>
      </c>
      <c r="E67" s="1" t="s">
        <v>698</v>
      </c>
      <c r="F67" s="1" t="s">
        <v>698</v>
      </c>
      <c r="G67" s="1" t="s">
        <v>698</v>
      </c>
      <c r="H67" s="1" t="s">
        <v>698</v>
      </c>
      <c r="I67" s="1" t="s">
        <v>698</v>
      </c>
      <c r="J67" s="1">
        <f t="shared" si="4"/>
        <v>1</v>
      </c>
      <c r="L67" s="1" t="s">
        <v>723</v>
      </c>
      <c r="M67" s="7">
        <v>62</v>
      </c>
      <c r="N67" s="5" t="s">
        <v>640</v>
      </c>
      <c r="O67" s="3" t="s">
        <v>658</v>
      </c>
      <c r="P67" s="3" t="s">
        <v>14</v>
      </c>
      <c r="Q67" s="10">
        <v>20</v>
      </c>
      <c r="R67" s="43">
        <f>VLOOKUP('90'!O67,Malzemeler!C:D,2,0)</f>
        <v>0</v>
      </c>
      <c r="S67" s="43">
        <f t="shared" ref="S67:S130" si="5">+R67*Q67</f>
        <v>0</v>
      </c>
    </row>
    <row r="68" spans="1:19" x14ac:dyDescent="0.35">
      <c r="A68" s="104"/>
      <c r="B68" s="1">
        <v>90</v>
      </c>
      <c r="C68" s="1" t="s">
        <v>698</v>
      </c>
      <c r="D68" s="1" t="s">
        <v>698</v>
      </c>
      <c r="E68" s="1" t="s">
        <v>698</v>
      </c>
      <c r="F68" s="1" t="s">
        <v>698</v>
      </c>
      <c r="G68" s="1" t="s">
        <v>698</v>
      </c>
      <c r="H68" s="1" t="s">
        <v>698</v>
      </c>
      <c r="I68" s="1" t="s">
        <v>698</v>
      </c>
      <c r="J68" s="1">
        <f t="shared" si="4"/>
        <v>1</v>
      </c>
      <c r="L68" s="1" t="s">
        <v>723</v>
      </c>
      <c r="M68" s="7">
        <v>63</v>
      </c>
      <c r="N68" s="5" t="s">
        <v>641</v>
      </c>
      <c r="O68" s="3" t="s">
        <v>659</v>
      </c>
      <c r="P68" s="3" t="s">
        <v>14</v>
      </c>
      <c r="Q68" s="10">
        <v>20</v>
      </c>
      <c r="R68" s="43">
        <f>VLOOKUP('90'!O68,Malzemeler!C:D,2,0)</f>
        <v>0</v>
      </c>
      <c r="S68" s="43">
        <f t="shared" si="5"/>
        <v>0</v>
      </c>
    </row>
    <row r="69" spans="1:19" x14ac:dyDescent="0.35">
      <c r="A69" s="104"/>
      <c r="B69" s="1">
        <v>90</v>
      </c>
      <c r="C69" s="1" t="s">
        <v>698</v>
      </c>
      <c r="D69" s="1" t="s">
        <v>698</v>
      </c>
      <c r="E69" s="1" t="s">
        <v>698</v>
      </c>
      <c r="F69" s="1" t="s">
        <v>698</v>
      </c>
      <c r="G69" s="1" t="s">
        <v>698</v>
      </c>
      <c r="H69" s="1" t="s">
        <v>698</v>
      </c>
      <c r="I69" s="1" t="s">
        <v>698</v>
      </c>
      <c r="J69" s="1">
        <f t="shared" si="4"/>
        <v>1</v>
      </c>
      <c r="L69" s="1" t="s">
        <v>723</v>
      </c>
      <c r="M69" s="7">
        <v>64</v>
      </c>
      <c r="N69" s="5" t="s">
        <v>264</v>
      </c>
      <c r="O69" s="3" t="s">
        <v>265</v>
      </c>
      <c r="P69" s="3" t="s">
        <v>14</v>
      </c>
      <c r="Q69" s="10">
        <v>2</v>
      </c>
      <c r="R69" s="43">
        <f>VLOOKUP('90'!O69,Malzemeler!C:D,2,0)</f>
        <v>8.2200000000000006</v>
      </c>
      <c r="S69" s="43">
        <f t="shared" si="5"/>
        <v>16.440000000000001</v>
      </c>
    </row>
    <row r="70" spans="1:19" x14ac:dyDescent="0.35">
      <c r="A70" s="104"/>
      <c r="B70" s="1">
        <v>90</v>
      </c>
      <c r="C70" s="1" t="s">
        <v>698</v>
      </c>
      <c r="D70" s="1" t="s">
        <v>698</v>
      </c>
      <c r="E70" s="1" t="s">
        <v>698</v>
      </c>
      <c r="F70" s="1" t="s">
        <v>698</v>
      </c>
      <c r="G70" s="1" t="s">
        <v>698</v>
      </c>
      <c r="H70" s="1" t="s">
        <v>698</v>
      </c>
      <c r="I70" s="1" t="s">
        <v>698</v>
      </c>
      <c r="J70" s="1">
        <f t="shared" ref="J70:J101" si="6">SUBTOTAL(103,B70)</f>
        <v>1</v>
      </c>
      <c r="L70" s="1" t="s">
        <v>723</v>
      </c>
      <c r="M70" s="7">
        <v>65</v>
      </c>
      <c r="N70" s="5" t="s">
        <v>266</v>
      </c>
      <c r="O70" s="3" t="s">
        <v>267</v>
      </c>
      <c r="P70" s="3" t="s">
        <v>14</v>
      </c>
      <c r="Q70" s="10">
        <v>8</v>
      </c>
      <c r="R70" s="43">
        <f>VLOOKUP('90'!O70,Malzemeler!C:D,2,0)</f>
        <v>3.4609999999999999</v>
      </c>
      <c r="S70" s="43">
        <f t="shared" si="5"/>
        <v>27.687999999999999</v>
      </c>
    </row>
    <row r="71" spans="1:19" x14ac:dyDescent="0.35">
      <c r="A71" s="104"/>
      <c r="B71" s="1">
        <v>90</v>
      </c>
      <c r="C71" s="1" t="s">
        <v>698</v>
      </c>
      <c r="D71" s="1" t="s">
        <v>698</v>
      </c>
      <c r="E71" s="1" t="s">
        <v>698</v>
      </c>
      <c r="F71" s="1" t="s">
        <v>698</v>
      </c>
      <c r="G71" s="1" t="s">
        <v>698</v>
      </c>
      <c r="H71" s="1" t="s">
        <v>698</v>
      </c>
      <c r="I71" s="1" t="s">
        <v>698</v>
      </c>
      <c r="J71" s="1">
        <f t="shared" si="6"/>
        <v>1</v>
      </c>
      <c r="L71" s="1" t="s">
        <v>723</v>
      </c>
      <c r="M71" s="7">
        <v>66</v>
      </c>
      <c r="N71" s="5" t="s">
        <v>268</v>
      </c>
      <c r="O71" s="3" t="s">
        <v>269</v>
      </c>
      <c r="P71" s="3" t="s">
        <v>14</v>
      </c>
      <c r="Q71" s="10">
        <v>18</v>
      </c>
      <c r="R71" s="43">
        <f>VLOOKUP('90'!O71,Malzemeler!C:D,2,0)</f>
        <v>3.2450000000000001</v>
      </c>
      <c r="S71" s="43">
        <f t="shared" si="5"/>
        <v>58.410000000000004</v>
      </c>
    </row>
    <row r="72" spans="1:19" x14ac:dyDescent="0.35">
      <c r="A72" s="104"/>
      <c r="B72" s="1">
        <v>90</v>
      </c>
      <c r="C72" s="1" t="s">
        <v>698</v>
      </c>
      <c r="D72" s="1" t="s">
        <v>698</v>
      </c>
      <c r="E72" s="1" t="s">
        <v>698</v>
      </c>
      <c r="F72" s="1" t="s">
        <v>698</v>
      </c>
      <c r="G72" s="1" t="s">
        <v>698</v>
      </c>
      <c r="H72" s="1" t="s">
        <v>698</v>
      </c>
      <c r="I72" s="1" t="s">
        <v>698</v>
      </c>
      <c r="J72" s="1">
        <f t="shared" si="6"/>
        <v>1</v>
      </c>
      <c r="L72" s="1" t="s">
        <v>723</v>
      </c>
      <c r="M72" s="7">
        <v>67</v>
      </c>
      <c r="N72" s="5" t="s">
        <v>642</v>
      </c>
      <c r="O72" s="3" t="s">
        <v>660</v>
      </c>
      <c r="P72" s="3" t="s">
        <v>14</v>
      </c>
      <c r="Q72" s="10">
        <v>31</v>
      </c>
      <c r="R72" s="43">
        <f>VLOOKUP('90'!O72,Malzemeler!C:D,2,0)</f>
        <v>0</v>
      </c>
      <c r="S72" s="43">
        <f t="shared" si="5"/>
        <v>0</v>
      </c>
    </row>
    <row r="73" spans="1:19" x14ac:dyDescent="0.35">
      <c r="A73" s="104"/>
      <c r="B73" s="1">
        <v>90</v>
      </c>
      <c r="C73" s="1" t="s">
        <v>698</v>
      </c>
      <c r="D73" s="1" t="s">
        <v>698</v>
      </c>
      <c r="E73" s="1" t="s">
        <v>698</v>
      </c>
      <c r="F73" s="1" t="s">
        <v>698</v>
      </c>
      <c r="G73" s="1" t="s">
        <v>698</v>
      </c>
      <c r="H73" s="1" t="s">
        <v>698</v>
      </c>
      <c r="I73" s="1" t="s">
        <v>698</v>
      </c>
      <c r="J73" s="1">
        <f t="shared" si="6"/>
        <v>1</v>
      </c>
      <c r="L73" s="1" t="s">
        <v>723</v>
      </c>
      <c r="M73" s="7">
        <v>68</v>
      </c>
      <c r="N73" s="5" t="s">
        <v>272</v>
      </c>
      <c r="O73" s="3" t="s">
        <v>273</v>
      </c>
      <c r="P73" s="3" t="s">
        <v>14</v>
      </c>
      <c r="Q73" s="10">
        <v>20</v>
      </c>
      <c r="R73" s="43">
        <f>VLOOKUP('90'!O73,Malzemeler!C:D,2,0)</f>
        <v>1</v>
      </c>
      <c r="S73" s="43">
        <f t="shared" si="5"/>
        <v>20</v>
      </c>
    </row>
    <row r="74" spans="1:19" x14ac:dyDescent="0.35">
      <c r="A74" s="104"/>
      <c r="B74" s="1">
        <v>90</v>
      </c>
      <c r="C74" s="1" t="s">
        <v>698</v>
      </c>
      <c r="D74" s="1" t="s">
        <v>698</v>
      </c>
      <c r="E74" s="1" t="s">
        <v>698</v>
      </c>
      <c r="F74" s="1" t="s">
        <v>698</v>
      </c>
      <c r="G74" s="1" t="s">
        <v>698</v>
      </c>
      <c r="H74" s="1" t="s">
        <v>698</v>
      </c>
      <c r="I74" s="1" t="s">
        <v>698</v>
      </c>
      <c r="J74" s="1">
        <f t="shared" si="6"/>
        <v>1</v>
      </c>
      <c r="L74" s="1" t="s">
        <v>723</v>
      </c>
      <c r="M74" s="7">
        <v>69</v>
      </c>
      <c r="N74" s="5" t="s">
        <v>274</v>
      </c>
      <c r="O74" s="3" t="s">
        <v>275</v>
      </c>
      <c r="P74" s="3" t="s">
        <v>14</v>
      </c>
      <c r="Q74" s="10">
        <v>2</v>
      </c>
      <c r="R74" s="43">
        <f>VLOOKUP('90'!O74,Malzemeler!C:D,2,0)</f>
        <v>6.3</v>
      </c>
      <c r="S74" s="43">
        <f t="shared" si="5"/>
        <v>12.6</v>
      </c>
    </row>
    <row r="75" spans="1:19" x14ac:dyDescent="0.35">
      <c r="A75" s="104"/>
      <c r="B75" s="1">
        <v>90</v>
      </c>
      <c r="C75" s="1" t="s">
        <v>698</v>
      </c>
      <c r="D75" s="1" t="s">
        <v>698</v>
      </c>
      <c r="E75" s="1" t="s">
        <v>698</v>
      </c>
      <c r="F75" s="1" t="s">
        <v>698</v>
      </c>
      <c r="G75" s="1" t="s">
        <v>698</v>
      </c>
      <c r="H75" s="1" t="s">
        <v>698</v>
      </c>
      <c r="I75" s="1" t="s">
        <v>698</v>
      </c>
      <c r="J75" s="1">
        <f t="shared" si="6"/>
        <v>1</v>
      </c>
      <c r="L75" s="1" t="s">
        <v>723</v>
      </c>
      <c r="M75" s="7">
        <v>70</v>
      </c>
      <c r="N75" s="5" t="s">
        <v>643</v>
      </c>
      <c r="O75" s="3" t="s">
        <v>661</v>
      </c>
      <c r="P75" s="3" t="s">
        <v>14</v>
      </c>
      <c r="Q75" s="10">
        <v>14.440000000000001</v>
      </c>
      <c r="R75" s="43">
        <f>VLOOKUP('90'!O75,Malzemeler!C:D,2,0)</f>
        <v>0</v>
      </c>
      <c r="S75" s="43">
        <f t="shared" si="5"/>
        <v>0</v>
      </c>
    </row>
    <row r="76" spans="1:19" x14ac:dyDescent="0.35">
      <c r="A76" s="104"/>
      <c r="B76" s="1">
        <v>90</v>
      </c>
      <c r="C76" s="1" t="s">
        <v>698</v>
      </c>
      <c r="D76" s="1" t="s">
        <v>698</v>
      </c>
      <c r="E76" s="1" t="s">
        <v>698</v>
      </c>
      <c r="F76" s="1" t="s">
        <v>698</v>
      </c>
      <c r="G76" s="1" t="s">
        <v>698</v>
      </c>
      <c r="H76" s="1" t="s">
        <v>698</v>
      </c>
      <c r="I76" s="1" t="s">
        <v>698</v>
      </c>
      <c r="J76" s="1">
        <f t="shared" si="6"/>
        <v>1</v>
      </c>
      <c r="L76" s="1" t="s">
        <v>723</v>
      </c>
      <c r="M76" s="7">
        <v>71</v>
      </c>
      <c r="N76" s="5" t="s">
        <v>313</v>
      </c>
      <c r="O76" s="3" t="s">
        <v>314</v>
      </c>
      <c r="P76" s="3" t="s">
        <v>14</v>
      </c>
      <c r="Q76" s="10">
        <v>41.978000000000009</v>
      </c>
      <c r="R76" s="43">
        <f>VLOOKUP('90'!O76,Malzemeler!C:D,2,0)</f>
        <v>1.1399999999999999</v>
      </c>
      <c r="S76" s="43">
        <f t="shared" si="5"/>
        <v>47.854920000000007</v>
      </c>
    </row>
    <row r="77" spans="1:19" x14ac:dyDescent="0.35">
      <c r="A77" s="104"/>
      <c r="B77" s="1">
        <v>90</v>
      </c>
      <c r="C77" s="1" t="s">
        <v>698</v>
      </c>
      <c r="D77" s="1" t="s">
        <v>698</v>
      </c>
      <c r="E77" s="1" t="s">
        <v>698</v>
      </c>
      <c r="F77" s="1" t="s">
        <v>698</v>
      </c>
      <c r="G77" s="1" t="s">
        <v>698</v>
      </c>
      <c r="H77" s="1" t="s">
        <v>698</v>
      </c>
      <c r="I77" s="1" t="s">
        <v>698</v>
      </c>
      <c r="J77" s="1">
        <f t="shared" si="6"/>
        <v>1</v>
      </c>
      <c r="L77" s="1" t="s">
        <v>723</v>
      </c>
      <c r="M77" s="7">
        <v>72</v>
      </c>
      <c r="N77" s="5" t="s">
        <v>315</v>
      </c>
      <c r="O77" s="3" t="s">
        <v>316</v>
      </c>
      <c r="P77" s="3" t="s">
        <v>14</v>
      </c>
      <c r="Q77" s="10">
        <v>79.009128000000004</v>
      </c>
      <c r="R77" s="43">
        <f>VLOOKUP('90'!O77,Malzemeler!C:D,2,0)</f>
        <v>0.35</v>
      </c>
      <c r="S77" s="43">
        <f t="shared" si="5"/>
        <v>27.653194800000001</v>
      </c>
    </row>
    <row r="78" spans="1:19" x14ac:dyDescent="0.35">
      <c r="A78" s="104"/>
      <c r="B78" s="1">
        <v>90</v>
      </c>
      <c r="C78" s="1" t="s">
        <v>698</v>
      </c>
      <c r="D78" s="1" t="s">
        <v>698</v>
      </c>
      <c r="E78" s="1" t="s">
        <v>698</v>
      </c>
      <c r="F78" s="1" t="s">
        <v>698</v>
      </c>
      <c r="G78" s="1" t="s">
        <v>698</v>
      </c>
      <c r="H78" s="1" t="s">
        <v>698</v>
      </c>
      <c r="I78" s="1" t="s">
        <v>698</v>
      </c>
      <c r="J78" s="1">
        <f t="shared" si="6"/>
        <v>1</v>
      </c>
      <c r="L78" s="1" t="s">
        <v>723</v>
      </c>
      <c r="M78" s="7">
        <v>73</v>
      </c>
      <c r="N78" s="5" t="s">
        <v>317</v>
      </c>
      <c r="O78" s="3" t="s">
        <v>318</v>
      </c>
      <c r="P78" s="3" t="s">
        <v>14</v>
      </c>
      <c r="Q78" s="10">
        <v>55.964799000000006</v>
      </c>
      <c r="R78" s="43">
        <f>VLOOKUP('90'!O78,Malzemeler!C:D,2,0)</f>
        <v>0.35</v>
      </c>
      <c r="S78" s="43">
        <f t="shared" si="5"/>
        <v>19.587679650000002</v>
      </c>
    </row>
    <row r="79" spans="1:19" x14ac:dyDescent="0.35">
      <c r="A79" s="104"/>
      <c r="B79" s="1">
        <v>90</v>
      </c>
      <c r="C79" s="1" t="s">
        <v>698</v>
      </c>
      <c r="D79" s="1" t="s">
        <v>698</v>
      </c>
      <c r="E79" s="1" t="s">
        <v>698</v>
      </c>
      <c r="F79" s="1" t="s">
        <v>698</v>
      </c>
      <c r="G79" s="1" t="s">
        <v>698</v>
      </c>
      <c r="H79" s="1" t="s">
        <v>698</v>
      </c>
      <c r="I79" s="1" t="s">
        <v>698</v>
      </c>
      <c r="J79" s="1">
        <f t="shared" si="6"/>
        <v>1</v>
      </c>
      <c r="L79" s="1" t="s">
        <v>723</v>
      </c>
      <c r="M79" s="7">
        <v>74</v>
      </c>
      <c r="N79" s="5" t="s">
        <v>319</v>
      </c>
      <c r="O79" s="3" t="s">
        <v>320</v>
      </c>
      <c r="P79" s="3" t="s">
        <v>14</v>
      </c>
      <c r="Q79" s="10">
        <v>4</v>
      </c>
      <c r="R79" s="43">
        <f>VLOOKUP('90'!O79,Malzemeler!C:D,2,0)</f>
        <v>0.8</v>
      </c>
      <c r="S79" s="43">
        <f t="shared" si="5"/>
        <v>3.2</v>
      </c>
    </row>
    <row r="80" spans="1:19" x14ac:dyDescent="0.35">
      <c r="A80" s="104"/>
      <c r="B80" s="1">
        <v>90</v>
      </c>
      <c r="C80" s="1" t="s">
        <v>698</v>
      </c>
      <c r="D80" s="1" t="s">
        <v>698</v>
      </c>
      <c r="E80" s="1" t="s">
        <v>698</v>
      </c>
      <c r="F80" s="1" t="s">
        <v>698</v>
      </c>
      <c r="G80" s="1" t="s">
        <v>698</v>
      </c>
      <c r="H80" s="1" t="s">
        <v>698</v>
      </c>
      <c r="I80" s="1" t="s">
        <v>698</v>
      </c>
      <c r="J80" s="1">
        <f t="shared" si="6"/>
        <v>1</v>
      </c>
      <c r="L80" s="1" t="s">
        <v>723</v>
      </c>
      <c r="M80" s="7">
        <v>75</v>
      </c>
      <c r="N80" s="5" t="s">
        <v>321</v>
      </c>
      <c r="O80" s="3" t="s">
        <v>322</v>
      </c>
      <c r="P80" s="3" t="s">
        <v>14</v>
      </c>
      <c r="Q80" s="10">
        <v>163.05541000000002</v>
      </c>
      <c r="R80" s="43">
        <f>VLOOKUP('90'!O80,Malzemeler!C:D,2,0)</f>
        <v>0.21</v>
      </c>
      <c r="S80" s="43">
        <f t="shared" si="5"/>
        <v>34.241636100000001</v>
      </c>
    </row>
    <row r="81" spans="1:19" x14ac:dyDescent="0.35">
      <c r="A81" s="104"/>
      <c r="B81" s="1">
        <v>90</v>
      </c>
      <c r="C81" s="1" t="s">
        <v>698</v>
      </c>
      <c r="D81" s="1" t="s">
        <v>698</v>
      </c>
      <c r="E81" s="1" t="s">
        <v>698</v>
      </c>
      <c r="F81" s="1" t="s">
        <v>698</v>
      </c>
      <c r="G81" s="1" t="s">
        <v>698</v>
      </c>
      <c r="H81" s="1" t="s">
        <v>698</v>
      </c>
      <c r="I81" s="1" t="s">
        <v>698</v>
      </c>
      <c r="J81" s="1">
        <f t="shared" si="6"/>
        <v>1</v>
      </c>
      <c r="L81" s="1" t="s">
        <v>723</v>
      </c>
      <c r="M81" s="7">
        <v>76</v>
      </c>
      <c r="N81" s="5" t="s">
        <v>323</v>
      </c>
      <c r="O81" s="3" t="s">
        <v>324</v>
      </c>
      <c r="P81" s="3" t="s">
        <v>14</v>
      </c>
      <c r="Q81" s="10">
        <v>2</v>
      </c>
      <c r="R81" s="43">
        <f>VLOOKUP('90'!O81,Malzemeler!C:D,2,0)</f>
        <v>0.8</v>
      </c>
      <c r="S81" s="43">
        <f t="shared" si="5"/>
        <v>1.6</v>
      </c>
    </row>
    <row r="82" spans="1:19" x14ac:dyDescent="0.35">
      <c r="A82" s="104"/>
      <c r="B82" s="1">
        <v>90</v>
      </c>
      <c r="C82" s="1" t="s">
        <v>698</v>
      </c>
      <c r="D82" s="1" t="s">
        <v>698</v>
      </c>
      <c r="E82" s="1" t="s">
        <v>698</v>
      </c>
      <c r="F82" s="1" t="s">
        <v>698</v>
      </c>
      <c r="G82" s="1" t="s">
        <v>698</v>
      </c>
      <c r="H82" s="1" t="s">
        <v>698</v>
      </c>
      <c r="I82" s="1" t="s">
        <v>698</v>
      </c>
      <c r="J82" s="1">
        <f t="shared" si="6"/>
        <v>1</v>
      </c>
      <c r="L82" s="1" t="s">
        <v>723</v>
      </c>
      <c r="M82" s="7">
        <v>77</v>
      </c>
      <c r="N82" s="5" t="s">
        <v>325</v>
      </c>
      <c r="O82" s="3" t="s">
        <v>326</v>
      </c>
      <c r="P82" s="3" t="s">
        <v>14</v>
      </c>
      <c r="Q82" s="10">
        <v>356.63842499999998</v>
      </c>
      <c r="R82" s="43">
        <f>VLOOKUP('90'!O82,Malzemeler!C:D,2,0)</f>
        <v>0.17</v>
      </c>
      <c r="S82" s="43">
        <f t="shared" si="5"/>
        <v>60.628532249999999</v>
      </c>
    </row>
    <row r="83" spans="1:19" x14ac:dyDescent="0.35">
      <c r="A83" s="104"/>
      <c r="B83" s="1">
        <v>90</v>
      </c>
      <c r="C83" s="1" t="s">
        <v>698</v>
      </c>
      <c r="D83" s="1" t="s">
        <v>698</v>
      </c>
      <c r="E83" s="1" t="s">
        <v>698</v>
      </c>
      <c r="F83" s="1" t="s">
        <v>698</v>
      </c>
      <c r="G83" s="1" t="s">
        <v>698</v>
      </c>
      <c r="H83" s="1" t="s">
        <v>698</v>
      </c>
      <c r="I83" s="1" t="s">
        <v>698</v>
      </c>
      <c r="J83" s="1">
        <f t="shared" si="6"/>
        <v>1</v>
      </c>
      <c r="L83" s="1" t="s">
        <v>723</v>
      </c>
      <c r="M83" s="7">
        <v>78</v>
      </c>
      <c r="N83" s="5" t="s">
        <v>327</v>
      </c>
      <c r="O83" s="3" t="s">
        <v>328</v>
      </c>
      <c r="P83" s="3" t="s">
        <v>14</v>
      </c>
      <c r="Q83" s="10">
        <v>188</v>
      </c>
      <c r="R83" s="43">
        <f>VLOOKUP('90'!O83,Malzemeler!C:D,2,0)</f>
        <v>0.66</v>
      </c>
      <c r="S83" s="43">
        <f t="shared" si="5"/>
        <v>124.08000000000001</v>
      </c>
    </row>
    <row r="84" spans="1:19" x14ac:dyDescent="0.35">
      <c r="A84" s="104"/>
      <c r="B84" s="1">
        <v>90</v>
      </c>
      <c r="C84" s="1" t="s">
        <v>698</v>
      </c>
      <c r="D84" s="1" t="s">
        <v>698</v>
      </c>
      <c r="E84" s="1" t="s">
        <v>698</v>
      </c>
      <c r="F84" s="1" t="s">
        <v>698</v>
      </c>
      <c r="G84" s="1" t="s">
        <v>698</v>
      </c>
      <c r="H84" s="1" t="s">
        <v>698</v>
      </c>
      <c r="I84" s="1" t="s">
        <v>698</v>
      </c>
      <c r="J84" s="1">
        <f t="shared" si="6"/>
        <v>1</v>
      </c>
      <c r="L84" s="1" t="s">
        <v>723</v>
      </c>
      <c r="M84" s="7">
        <v>79</v>
      </c>
      <c r="N84" s="5" t="s">
        <v>329</v>
      </c>
      <c r="O84" s="3" t="s">
        <v>330</v>
      </c>
      <c r="P84" s="3" t="s">
        <v>14</v>
      </c>
      <c r="Q84" s="10">
        <v>188</v>
      </c>
      <c r="R84" s="43">
        <f>VLOOKUP('90'!O84,Malzemeler!C:D,2,0)</f>
        <v>0.28999999999999998</v>
      </c>
      <c r="S84" s="43">
        <f t="shared" si="5"/>
        <v>54.519999999999996</v>
      </c>
    </row>
    <row r="85" spans="1:19" x14ac:dyDescent="0.35">
      <c r="A85" s="104"/>
      <c r="B85" s="1">
        <v>90</v>
      </c>
      <c r="C85" s="1" t="s">
        <v>698</v>
      </c>
      <c r="D85" s="1" t="s">
        <v>698</v>
      </c>
      <c r="E85" s="1" t="s">
        <v>698</v>
      </c>
      <c r="F85" s="1" t="s">
        <v>698</v>
      </c>
      <c r="G85" s="1" t="s">
        <v>698</v>
      </c>
      <c r="H85" s="1" t="s">
        <v>698</v>
      </c>
      <c r="I85" s="1" t="s">
        <v>698</v>
      </c>
      <c r="J85" s="1">
        <f t="shared" si="6"/>
        <v>1</v>
      </c>
      <c r="L85" s="1" t="s">
        <v>723</v>
      </c>
      <c r="M85" s="7">
        <v>80</v>
      </c>
      <c r="N85" s="5" t="s">
        <v>331</v>
      </c>
      <c r="O85" s="3" t="s">
        <v>332</v>
      </c>
      <c r="P85" s="3" t="s">
        <v>14</v>
      </c>
      <c r="Q85" s="10">
        <v>188</v>
      </c>
      <c r="R85" s="43">
        <f>VLOOKUP('90'!O85,Malzemeler!C:D,2,0)</f>
        <v>0.28999999999999998</v>
      </c>
      <c r="S85" s="43">
        <f t="shared" si="5"/>
        <v>54.519999999999996</v>
      </c>
    </row>
    <row r="86" spans="1:19" x14ac:dyDescent="0.35">
      <c r="A86" s="104"/>
      <c r="B86" s="1">
        <v>90</v>
      </c>
      <c r="C86" s="1" t="s">
        <v>698</v>
      </c>
      <c r="D86" s="1" t="s">
        <v>698</v>
      </c>
      <c r="E86" s="1" t="s">
        <v>698</v>
      </c>
      <c r="F86" s="1" t="s">
        <v>698</v>
      </c>
      <c r="G86" s="1" t="s">
        <v>698</v>
      </c>
      <c r="H86" s="1" t="s">
        <v>698</v>
      </c>
      <c r="I86" s="1" t="s">
        <v>698</v>
      </c>
      <c r="J86" s="1">
        <f t="shared" si="6"/>
        <v>1</v>
      </c>
      <c r="L86" s="1" t="s">
        <v>723</v>
      </c>
      <c r="M86" s="7">
        <v>81</v>
      </c>
      <c r="N86" s="5" t="s">
        <v>333</v>
      </c>
      <c r="O86" s="3" t="s">
        <v>334</v>
      </c>
      <c r="P86" s="3" t="s">
        <v>14</v>
      </c>
      <c r="Q86" s="10">
        <v>188</v>
      </c>
      <c r="R86" s="43">
        <f>VLOOKUP('90'!O86,Malzemeler!C:D,2,0)</f>
        <v>0.18</v>
      </c>
      <c r="S86" s="43">
        <f t="shared" si="5"/>
        <v>33.839999999999996</v>
      </c>
    </row>
    <row r="87" spans="1:19" x14ac:dyDescent="0.35">
      <c r="A87" s="104"/>
      <c r="B87" s="1">
        <v>90</v>
      </c>
      <c r="C87" s="1" t="s">
        <v>698</v>
      </c>
      <c r="D87" s="1" t="s">
        <v>698</v>
      </c>
      <c r="E87" s="1" t="s">
        <v>698</v>
      </c>
      <c r="F87" s="1" t="s">
        <v>698</v>
      </c>
      <c r="G87" s="1" t="s">
        <v>698</v>
      </c>
      <c r="H87" s="1" t="s">
        <v>698</v>
      </c>
      <c r="I87" s="1" t="s">
        <v>698</v>
      </c>
      <c r="J87" s="1">
        <f t="shared" si="6"/>
        <v>1</v>
      </c>
      <c r="L87" s="1" t="s">
        <v>723</v>
      </c>
      <c r="M87" s="7">
        <v>82</v>
      </c>
      <c r="N87" s="5" t="s">
        <v>335</v>
      </c>
      <c r="O87" s="3" t="s">
        <v>336</v>
      </c>
      <c r="P87" s="3" t="s">
        <v>14</v>
      </c>
      <c r="Q87" s="10">
        <v>188</v>
      </c>
      <c r="R87" s="43">
        <f>VLOOKUP('90'!O87,Malzemeler!C:D,2,0)</f>
        <v>0.26</v>
      </c>
      <c r="S87" s="43">
        <f t="shared" si="5"/>
        <v>48.88</v>
      </c>
    </row>
    <row r="88" spans="1:19" x14ac:dyDescent="0.35">
      <c r="A88" s="104"/>
      <c r="B88" s="1">
        <v>90</v>
      </c>
      <c r="C88" s="1" t="s">
        <v>698</v>
      </c>
      <c r="D88" s="1" t="s">
        <v>698</v>
      </c>
      <c r="E88" s="1" t="s">
        <v>698</v>
      </c>
      <c r="F88" s="1" t="s">
        <v>698</v>
      </c>
      <c r="G88" s="1" t="s">
        <v>698</v>
      </c>
      <c r="H88" s="1" t="s">
        <v>698</v>
      </c>
      <c r="I88" s="1" t="s">
        <v>698</v>
      </c>
      <c r="J88" s="1">
        <f t="shared" si="6"/>
        <v>1</v>
      </c>
      <c r="L88" s="1" t="s">
        <v>723</v>
      </c>
      <c r="M88" s="7">
        <v>83</v>
      </c>
      <c r="N88" s="5" t="s">
        <v>644</v>
      </c>
      <c r="O88" s="3" t="s">
        <v>662</v>
      </c>
      <c r="P88" s="3" t="s">
        <v>14</v>
      </c>
      <c r="Q88" s="10">
        <v>0.82882910400000009</v>
      </c>
      <c r="R88" s="43">
        <f>VLOOKUP('90'!O88,Malzemeler!C:D,2,0)</f>
        <v>0</v>
      </c>
      <c r="S88" s="43">
        <f t="shared" si="5"/>
        <v>0</v>
      </c>
    </row>
    <row r="89" spans="1:19" x14ac:dyDescent="0.35">
      <c r="A89" s="104"/>
      <c r="B89" s="1">
        <v>90</v>
      </c>
      <c r="C89" s="1" t="s">
        <v>698</v>
      </c>
      <c r="D89" s="1" t="s">
        <v>698</v>
      </c>
      <c r="E89" s="1" t="s">
        <v>698</v>
      </c>
      <c r="F89" s="1" t="s">
        <v>698</v>
      </c>
      <c r="G89" s="1" t="s">
        <v>698</v>
      </c>
      <c r="H89" s="1" t="s">
        <v>698</v>
      </c>
      <c r="I89" s="1" t="s">
        <v>698</v>
      </c>
      <c r="J89" s="1">
        <f t="shared" si="6"/>
        <v>1</v>
      </c>
      <c r="L89" s="1" t="s">
        <v>723</v>
      </c>
      <c r="M89" s="7">
        <v>84</v>
      </c>
      <c r="N89" s="5" t="s">
        <v>645</v>
      </c>
      <c r="O89" s="3" t="s">
        <v>663</v>
      </c>
      <c r="P89" s="3" t="s">
        <v>14</v>
      </c>
      <c r="Q89" s="10">
        <v>0.20720727600000002</v>
      </c>
      <c r="R89" s="43">
        <f>VLOOKUP('90'!O89,Malzemeler!C:D,2,0)</f>
        <v>0</v>
      </c>
      <c r="S89" s="43">
        <f t="shared" si="5"/>
        <v>0</v>
      </c>
    </row>
    <row r="90" spans="1:19" x14ac:dyDescent="0.35">
      <c r="A90" s="104"/>
      <c r="B90" s="1">
        <v>90</v>
      </c>
      <c r="C90" s="1" t="s">
        <v>698</v>
      </c>
      <c r="D90" s="1" t="s">
        <v>698</v>
      </c>
      <c r="E90" s="1" t="s">
        <v>698</v>
      </c>
      <c r="F90" s="1" t="s">
        <v>698</v>
      </c>
      <c r="G90" s="1" t="s">
        <v>698</v>
      </c>
      <c r="H90" s="1" t="s">
        <v>698</v>
      </c>
      <c r="I90" s="1" t="s">
        <v>698</v>
      </c>
      <c r="J90" s="1">
        <f t="shared" si="6"/>
        <v>1</v>
      </c>
      <c r="L90" s="1" t="s">
        <v>723</v>
      </c>
      <c r="M90" s="7">
        <v>85</v>
      </c>
      <c r="N90" s="5" t="s">
        <v>394</v>
      </c>
      <c r="O90" s="3" t="s">
        <v>395</v>
      </c>
      <c r="P90" s="3" t="s">
        <v>14</v>
      </c>
      <c r="Q90" s="10">
        <v>6</v>
      </c>
      <c r="R90" s="43">
        <f>VLOOKUP('90'!O90,Malzemeler!C:D,2,0)</f>
        <v>0.55000000000000004</v>
      </c>
      <c r="S90" s="43">
        <f t="shared" si="5"/>
        <v>3.3000000000000003</v>
      </c>
    </row>
    <row r="91" spans="1:19" x14ac:dyDescent="0.35">
      <c r="A91" s="104"/>
      <c r="B91" s="1">
        <v>90</v>
      </c>
      <c r="C91" s="1" t="s">
        <v>698</v>
      </c>
      <c r="D91" s="1" t="s">
        <v>698</v>
      </c>
      <c r="E91" s="1" t="s">
        <v>698</v>
      </c>
      <c r="F91" s="1" t="s">
        <v>698</v>
      </c>
      <c r="G91" s="1" t="s">
        <v>698</v>
      </c>
      <c r="H91" s="1" t="s">
        <v>698</v>
      </c>
      <c r="I91" s="1" t="s">
        <v>698</v>
      </c>
      <c r="J91" s="1">
        <f t="shared" si="6"/>
        <v>1</v>
      </c>
      <c r="L91" s="1" t="s">
        <v>723</v>
      </c>
      <c r="M91" s="7">
        <v>86</v>
      </c>
      <c r="N91" s="5" t="s">
        <v>646</v>
      </c>
      <c r="O91" s="3" t="s">
        <v>664</v>
      </c>
      <c r="P91" s="3" t="s">
        <v>14</v>
      </c>
      <c r="Q91" s="10">
        <v>70</v>
      </c>
      <c r="R91" s="43">
        <f>VLOOKUP('90'!O91,Malzemeler!C:D,2,0)</f>
        <v>0</v>
      </c>
      <c r="S91" s="43">
        <f t="shared" si="5"/>
        <v>0</v>
      </c>
    </row>
    <row r="92" spans="1:19" x14ac:dyDescent="0.35">
      <c r="A92" s="104"/>
      <c r="B92" s="1">
        <v>90</v>
      </c>
      <c r="C92" s="1" t="s">
        <v>698</v>
      </c>
      <c r="D92" s="1" t="s">
        <v>698</v>
      </c>
      <c r="E92" s="1" t="s">
        <v>698</v>
      </c>
      <c r="F92" s="1" t="s">
        <v>698</v>
      </c>
      <c r="G92" s="1" t="s">
        <v>698</v>
      </c>
      <c r="H92" s="1" t="s">
        <v>698</v>
      </c>
      <c r="I92" s="1" t="s">
        <v>698</v>
      </c>
      <c r="J92" s="1">
        <f t="shared" si="6"/>
        <v>1</v>
      </c>
      <c r="L92" s="1" t="s">
        <v>723</v>
      </c>
      <c r="M92" s="7">
        <v>87</v>
      </c>
      <c r="N92" s="5" t="s">
        <v>337</v>
      </c>
      <c r="O92" s="3" t="s">
        <v>338</v>
      </c>
      <c r="P92" s="3" t="s">
        <v>14</v>
      </c>
      <c r="Q92" s="10">
        <v>20</v>
      </c>
      <c r="R92" s="43">
        <f>VLOOKUP('90'!O92,Malzemeler!C:D,2,0)</f>
        <v>2.25</v>
      </c>
      <c r="S92" s="43">
        <f t="shared" si="5"/>
        <v>45</v>
      </c>
    </row>
    <row r="93" spans="1:19" x14ac:dyDescent="0.35">
      <c r="A93" s="104"/>
      <c r="B93" s="1">
        <v>90</v>
      </c>
      <c r="C93" s="1" t="s">
        <v>698</v>
      </c>
      <c r="D93" s="1" t="s">
        <v>698</v>
      </c>
      <c r="E93" s="1" t="s">
        <v>698</v>
      </c>
      <c r="F93" s="1" t="s">
        <v>698</v>
      </c>
      <c r="G93" s="1" t="s">
        <v>698</v>
      </c>
      <c r="H93" s="1" t="s">
        <v>698</v>
      </c>
      <c r="I93" s="1" t="s">
        <v>698</v>
      </c>
      <c r="J93" s="1">
        <f t="shared" si="6"/>
        <v>1</v>
      </c>
      <c r="L93" s="1" t="s">
        <v>723</v>
      </c>
      <c r="M93" s="7">
        <v>88</v>
      </c>
      <c r="N93" s="5" t="s">
        <v>647</v>
      </c>
      <c r="O93" s="3" t="s">
        <v>665</v>
      </c>
      <c r="P93" s="3" t="s">
        <v>14</v>
      </c>
      <c r="Q93" s="10">
        <v>24</v>
      </c>
      <c r="R93" s="43">
        <f>VLOOKUP('90'!O93,Malzemeler!C:D,2,0)</f>
        <v>0</v>
      </c>
      <c r="S93" s="43">
        <f t="shared" si="5"/>
        <v>0</v>
      </c>
    </row>
    <row r="94" spans="1:19" x14ac:dyDescent="0.35">
      <c r="A94" s="104"/>
      <c r="B94" s="1">
        <v>90</v>
      </c>
      <c r="C94" s="1" t="s">
        <v>698</v>
      </c>
      <c r="D94" s="1" t="s">
        <v>698</v>
      </c>
      <c r="E94" s="1" t="s">
        <v>698</v>
      </c>
      <c r="F94" s="1" t="s">
        <v>698</v>
      </c>
      <c r="G94" s="1" t="s">
        <v>698</v>
      </c>
      <c r="H94" s="1" t="s">
        <v>698</v>
      </c>
      <c r="I94" s="1" t="s">
        <v>698</v>
      </c>
      <c r="J94" s="1">
        <f t="shared" si="6"/>
        <v>1</v>
      </c>
      <c r="L94" s="1" t="s">
        <v>723</v>
      </c>
      <c r="M94" s="7">
        <v>89</v>
      </c>
      <c r="N94" s="5" t="s">
        <v>341</v>
      </c>
      <c r="O94" s="3" t="s">
        <v>342</v>
      </c>
      <c r="P94" s="3" t="s">
        <v>14</v>
      </c>
      <c r="Q94" s="10">
        <v>381.87745200000001</v>
      </c>
      <c r="R94" s="43">
        <f>VLOOKUP('90'!O94,Malzemeler!C:D,2,0)</f>
        <v>0.2</v>
      </c>
      <c r="S94" s="43">
        <f t="shared" si="5"/>
        <v>76.375490400000004</v>
      </c>
    </row>
    <row r="95" spans="1:19" x14ac:dyDescent="0.35">
      <c r="A95" s="104"/>
      <c r="B95" s="1">
        <v>90</v>
      </c>
      <c r="C95" s="1" t="s">
        <v>698</v>
      </c>
      <c r="D95" s="1" t="s">
        <v>698</v>
      </c>
      <c r="E95" s="1" t="s">
        <v>698</v>
      </c>
      <c r="F95" s="1" t="s">
        <v>698</v>
      </c>
      <c r="G95" s="1" t="s">
        <v>698</v>
      </c>
      <c r="H95" s="1" t="s">
        <v>698</v>
      </c>
      <c r="I95" s="1" t="s">
        <v>698</v>
      </c>
      <c r="J95" s="1">
        <f t="shared" si="6"/>
        <v>1</v>
      </c>
      <c r="L95" s="1" t="s">
        <v>723</v>
      </c>
      <c r="M95" s="7">
        <v>90</v>
      </c>
      <c r="N95" s="5" t="s">
        <v>343</v>
      </c>
      <c r="O95" s="3" t="s">
        <v>344</v>
      </c>
      <c r="P95" s="3" t="s">
        <v>14</v>
      </c>
      <c r="Q95" s="10">
        <v>40</v>
      </c>
      <c r="R95" s="43">
        <f>VLOOKUP('90'!O95,Malzemeler!C:D,2,0)</f>
        <v>1</v>
      </c>
      <c r="S95" s="43">
        <f t="shared" si="5"/>
        <v>40</v>
      </c>
    </row>
    <row r="96" spans="1:19" x14ac:dyDescent="0.35">
      <c r="A96" s="104"/>
      <c r="B96" s="1">
        <v>90</v>
      </c>
      <c r="C96" s="1" t="s">
        <v>698</v>
      </c>
      <c r="D96" s="1" t="s">
        <v>698</v>
      </c>
      <c r="E96" s="1" t="s">
        <v>698</v>
      </c>
      <c r="F96" s="1" t="s">
        <v>698</v>
      </c>
      <c r="G96" s="1" t="s">
        <v>698</v>
      </c>
      <c r="H96" s="1" t="s">
        <v>698</v>
      </c>
      <c r="I96" s="1" t="s">
        <v>698</v>
      </c>
      <c r="J96" s="1">
        <f t="shared" si="6"/>
        <v>1</v>
      </c>
      <c r="L96" s="1" t="s">
        <v>723</v>
      </c>
      <c r="M96" s="7">
        <v>91</v>
      </c>
      <c r="N96" s="5" t="s">
        <v>396</v>
      </c>
      <c r="O96" s="3" t="s">
        <v>397</v>
      </c>
      <c r="P96" s="3" t="s">
        <v>14</v>
      </c>
      <c r="Q96" s="10">
        <v>23.044328999999998</v>
      </c>
      <c r="R96" s="43">
        <f>VLOOKUP('90'!O96,Malzemeler!C:D,2,0)</f>
        <v>3.52</v>
      </c>
      <c r="S96" s="43">
        <f t="shared" si="5"/>
        <v>81.116038079999996</v>
      </c>
    </row>
    <row r="97" spans="1:19" x14ac:dyDescent="0.35">
      <c r="A97" s="104"/>
      <c r="B97" s="1">
        <v>90</v>
      </c>
      <c r="C97" s="1" t="s">
        <v>698</v>
      </c>
      <c r="D97" s="1" t="s">
        <v>698</v>
      </c>
      <c r="E97" s="1" t="s">
        <v>698</v>
      </c>
      <c r="F97" s="1" t="s">
        <v>698</v>
      </c>
      <c r="G97" s="1" t="s">
        <v>698</v>
      </c>
      <c r="H97" s="1" t="s">
        <v>698</v>
      </c>
      <c r="I97" s="1" t="s">
        <v>698</v>
      </c>
      <c r="J97" s="1">
        <f t="shared" si="6"/>
        <v>1</v>
      </c>
      <c r="L97" s="1" t="s">
        <v>723</v>
      </c>
      <c r="M97" s="7">
        <v>92</v>
      </c>
      <c r="N97" s="5" t="s">
        <v>349</v>
      </c>
      <c r="O97" s="3" t="s">
        <v>350</v>
      </c>
      <c r="P97" s="3" t="s">
        <v>14</v>
      </c>
      <c r="Q97" s="3">
        <v>2</v>
      </c>
      <c r="R97" s="43">
        <f>VLOOKUP('90'!O97,Malzemeler!C:D,2,0)</f>
        <v>5.44</v>
      </c>
      <c r="S97" s="43">
        <f t="shared" si="5"/>
        <v>10.88</v>
      </c>
    </row>
    <row r="98" spans="1:19" x14ac:dyDescent="0.35">
      <c r="A98" s="104"/>
      <c r="B98" s="1">
        <v>90</v>
      </c>
      <c r="C98" s="1" t="s">
        <v>698</v>
      </c>
      <c r="D98" s="1" t="s">
        <v>698</v>
      </c>
      <c r="E98" s="1" t="s">
        <v>698</v>
      </c>
      <c r="F98" s="1" t="s">
        <v>698</v>
      </c>
      <c r="G98" s="1" t="s">
        <v>698</v>
      </c>
      <c r="H98" s="1" t="s">
        <v>698</v>
      </c>
      <c r="I98" s="1" t="s">
        <v>698</v>
      </c>
      <c r="J98" s="1">
        <f t="shared" si="6"/>
        <v>1</v>
      </c>
      <c r="L98" s="1" t="s">
        <v>723</v>
      </c>
      <c r="M98" s="7">
        <v>93</v>
      </c>
      <c r="N98" s="5" t="s">
        <v>351</v>
      </c>
      <c r="O98" s="3" t="s">
        <v>352</v>
      </c>
      <c r="P98" s="3" t="s">
        <v>14</v>
      </c>
      <c r="Q98" s="3">
        <v>2</v>
      </c>
      <c r="R98" s="43">
        <f>VLOOKUP('90'!O98,Malzemeler!C:D,2,0)</f>
        <v>2.98</v>
      </c>
      <c r="S98" s="43">
        <f t="shared" si="5"/>
        <v>5.96</v>
      </c>
    </row>
    <row r="99" spans="1:19" x14ac:dyDescent="0.35">
      <c r="A99" s="104"/>
      <c r="B99" s="1">
        <v>90</v>
      </c>
      <c r="C99" s="1" t="s">
        <v>698</v>
      </c>
      <c r="D99" s="1" t="s">
        <v>698</v>
      </c>
      <c r="E99" s="1" t="s">
        <v>698</v>
      </c>
      <c r="F99" s="1" t="s">
        <v>698</v>
      </c>
      <c r="G99" s="1" t="s">
        <v>698</v>
      </c>
      <c r="H99" s="1" t="s">
        <v>698</v>
      </c>
      <c r="I99" s="1" t="s">
        <v>698</v>
      </c>
      <c r="J99" s="1">
        <f t="shared" si="6"/>
        <v>1</v>
      </c>
      <c r="L99" s="1" t="s">
        <v>723</v>
      </c>
      <c r="M99" s="7">
        <v>94</v>
      </c>
      <c r="N99" s="5" t="s">
        <v>648</v>
      </c>
      <c r="O99" s="3" t="s">
        <v>648</v>
      </c>
      <c r="P99" s="3" t="s">
        <v>14</v>
      </c>
      <c r="Q99" s="3">
        <v>40</v>
      </c>
      <c r="R99" s="43">
        <f>VLOOKUP('90'!O99,Malzemeler!C:D,2,0)</f>
        <v>0</v>
      </c>
      <c r="S99" s="43">
        <f t="shared" si="5"/>
        <v>0</v>
      </c>
    </row>
    <row r="100" spans="1:19" x14ac:dyDescent="0.35">
      <c r="A100" s="104"/>
      <c r="B100" s="1">
        <v>90</v>
      </c>
      <c r="C100" s="1" t="s">
        <v>698</v>
      </c>
      <c r="D100" s="1" t="s">
        <v>698</v>
      </c>
      <c r="E100" s="1" t="s">
        <v>698</v>
      </c>
      <c r="F100" s="1" t="s">
        <v>698</v>
      </c>
      <c r="G100" s="1" t="s">
        <v>698</v>
      </c>
      <c r="H100" s="1" t="s">
        <v>698</v>
      </c>
      <c r="I100" s="1" t="s">
        <v>698</v>
      </c>
      <c r="J100" s="1">
        <f t="shared" si="6"/>
        <v>1</v>
      </c>
      <c r="L100" s="1" t="s">
        <v>723</v>
      </c>
      <c r="M100" s="7">
        <v>95</v>
      </c>
      <c r="N100" s="5" t="s">
        <v>649</v>
      </c>
      <c r="O100" s="3" t="s">
        <v>649</v>
      </c>
      <c r="P100" s="3" t="s">
        <v>14</v>
      </c>
      <c r="Q100" s="3">
        <v>16</v>
      </c>
      <c r="R100" s="43">
        <f>VLOOKUP('90'!O100,Malzemeler!C:D,2,0)</f>
        <v>0</v>
      </c>
      <c r="S100" s="43">
        <f t="shared" si="5"/>
        <v>0</v>
      </c>
    </row>
    <row r="101" spans="1:19" x14ac:dyDescent="0.35">
      <c r="A101" s="104"/>
      <c r="B101" s="1">
        <v>90</v>
      </c>
      <c r="C101" s="1" t="s">
        <v>698</v>
      </c>
      <c r="D101" s="1" t="s">
        <v>698</v>
      </c>
      <c r="E101" s="1" t="s">
        <v>698</v>
      </c>
      <c r="F101" s="1" t="s">
        <v>698</v>
      </c>
      <c r="G101" s="1" t="s">
        <v>698</v>
      </c>
      <c r="H101" s="1" t="s">
        <v>698</v>
      </c>
      <c r="I101" s="1" t="s">
        <v>698</v>
      </c>
      <c r="J101" s="1">
        <f t="shared" si="6"/>
        <v>1</v>
      </c>
      <c r="L101" s="1" t="s">
        <v>723</v>
      </c>
      <c r="M101" s="7">
        <v>96</v>
      </c>
      <c r="N101" s="5" t="s">
        <v>654</v>
      </c>
      <c r="O101" s="59" t="s">
        <v>654</v>
      </c>
      <c r="P101" s="3" t="s">
        <v>14</v>
      </c>
      <c r="Q101" s="3">
        <v>24</v>
      </c>
      <c r="R101" s="43">
        <f>VLOOKUP('90'!O101,Malzemeler!C:D,2,0)</f>
        <v>0</v>
      </c>
      <c r="S101" s="43">
        <f t="shared" si="5"/>
        <v>0</v>
      </c>
    </row>
    <row r="102" spans="1:19" x14ac:dyDescent="0.35">
      <c r="A102" s="104"/>
      <c r="B102" s="1">
        <v>90</v>
      </c>
      <c r="C102" s="1" t="s">
        <v>698</v>
      </c>
      <c r="D102" s="1" t="s">
        <v>698</v>
      </c>
      <c r="E102" s="1" t="s">
        <v>698</v>
      </c>
      <c r="F102" s="1" t="s">
        <v>698</v>
      </c>
      <c r="G102" s="1" t="s">
        <v>698</v>
      </c>
      <c r="H102" s="1" t="s">
        <v>698</v>
      </c>
      <c r="I102" s="1" t="s">
        <v>698</v>
      </c>
      <c r="J102" s="1">
        <f t="shared" ref="J102" si="7">SUBTOTAL(103,B102)</f>
        <v>1</v>
      </c>
      <c r="L102" s="1" t="s">
        <v>723</v>
      </c>
      <c r="M102" s="7">
        <v>97</v>
      </c>
      <c r="N102" s="5" t="s">
        <v>731</v>
      </c>
      <c r="O102" s="3" t="s">
        <v>732</v>
      </c>
      <c r="P102" s="3" t="s">
        <v>14</v>
      </c>
      <c r="Q102" s="3">
        <v>130</v>
      </c>
      <c r="R102" s="43">
        <f>VLOOKUP('90'!O102,Malzemeler!C:D,2,0)</f>
        <v>0</v>
      </c>
      <c r="S102" s="43">
        <f t="shared" si="5"/>
        <v>0</v>
      </c>
    </row>
    <row r="103" spans="1:19" ht="15" customHeight="1" x14ac:dyDescent="0.35">
      <c r="A103" s="104" t="s">
        <v>722</v>
      </c>
      <c r="B103" s="1">
        <v>90</v>
      </c>
      <c r="C103" s="1" t="s">
        <v>698</v>
      </c>
      <c r="D103" s="1" t="s">
        <v>698</v>
      </c>
      <c r="E103" s="1" t="s">
        <v>698</v>
      </c>
      <c r="F103" s="1" t="s">
        <v>698</v>
      </c>
      <c r="G103" s="1" t="s">
        <v>698</v>
      </c>
      <c r="H103" s="1" t="s">
        <v>698</v>
      </c>
      <c r="I103" s="1" t="s">
        <v>698</v>
      </c>
      <c r="J103" s="1">
        <f t="shared" ref="J103:J130" si="8">SUBTOTAL(103,B103)</f>
        <v>1</v>
      </c>
      <c r="L103" s="1" t="s">
        <v>722</v>
      </c>
      <c r="M103" s="7">
        <v>1</v>
      </c>
      <c r="N103" s="5" t="s">
        <v>27</v>
      </c>
      <c r="O103" s="3" t="s">
        <v>28</v>
      </c>
      <c r="P103" s="3" t="s">
        <v>14</v>
      </c>
      <c r="Q103" s="3">
        <v>1</v>
      </c>
      <c r="R103" s="43">
        <f>VLOOKUP('90'!O103,Malzemeler!C:D,2,0)</f>
        <v>4.76</v>
      </c>
      <c r="S103" s="43">
        <f t="shared" si="5"/>
        <v>4.76</v>
      </c>
    </row>
    <row r="104" spans="1:19" x14ac:dyDescent="0.35">
      <c r="A104" s="104"/>
      <c r="B104" s="1">
        <v>90</v>
      </c>
      <c r="C104" s="1" t="s">
        <v>698</v>
      </c>
      <c r="D104" s="1" t="s">
        <v>698</v>
      </c>
      <c r="E104" s="1" t="s">
        <v>698</v>
      </c>
      <c r="F104" s="1" t="s">
        <v>698</v>
      </c>
      <c r="G104" s="1" t="s">
        <v>698</v>
      </c>
      <c r="H104" s="1" t="s">
        <v>698</v>
      </c>
      <c r="I104" s="1" t="s">
        <v>698</v>
      </c>
      <c r="J104" s="1">
        <f t="shared" si="8"/>
        <v>1</v>
      </c>
      <c r="L104" s="1" t="s">
        <v>722</v>
      </c>
      <c r="M104" s="7">
        <v>2</v>
      </c>
      <c r="N104" s="5" t="s">
        <v>29</v>
      </c>
      <c r="O104" s="3" t="s">
        <v>30</v>
      </c>
      <c r="P104" s="3" t="s">
        <v>14</v>
      </c>
      <c r="Q104" s="3">
        <v>1</v>
      </c>
      <c r="R104" s="43">
        <f>VLOOKUP('90'!O104,Malzemeler!C:D,2,0)</f>
        <v>4.76</v>
      </c>
      <c r="S104" s="43">
        <f t="shared" si="5"/>
        <v>4.76</v>
      </c>
    </row>
    <row r="105" spans="1:19" x14ac:dyDescent="0.35">
      <c r="A105" s="104"/>
      <c r="B105" s="1">
        <v>90</v>
      </c>
      <c r="C105" s="1" t="s">
        <v>698</v>
      </c>
      <c r="D105" s="1" t="s">
        <v>698</v>
      </c>
      <c r="E105" s="1" t="s">
        <v>698</v>
      </c>
      <c r="F105" s="1" t="s">
        <v>698</v>
      </c>
      <c r="G105" s="1" t="s">
        <v>698</v>
      </c>
      <c r="H105" s="1" t="s">
        <v>698</v>
      </c>
      <c r="I105" s="1" t="s">
        <v>698</v>
      </c>
      <c r="J105" s="1">
        <f t="shared" si="8"/>
        <v>1</v>
      </c>
      <c r="L105" s="1" t="s">
        <v>722</v>
      </c>
      <c r="M105" s="7">
        <v>3</v>
      </c>
      <c r="N105" s="5" t="s">
        <v>433</v>
      </c>
      <c r="O105" s="3" t="s">
        <v>546</v>
      </c>
      <c r="P105" s="3" t="s">
        <v>14</v>
      </c>
      <c r="Q105" s="3">
        <v>1</v>
      </c>
      <c r="R105" s="43">
        <f>VLOOKUP('90'!O105,Malzemeler!C:D,2,0)</f>
        <v>0</v>
      </c>
      <c r="S105" s="43">
        <f t="shared" si="5"/>
        <v>0</v>
      </c>
    </row>
    <row r="106" spans="1:19" x14ac:dyDescent="0.35">
      <c r="A106" s="104"/>
      <c r="B106" s="1">
        <v>90</v>
      </c>
      <c r="C106" s="1" t="s">
        <v>698</v>
      </c>
      <c r="D106" s="1" t="s">
        <v>698</v>
      </c>
      <c r="E106" s="1" t="s">
        <v>698</v>
      </c>
      <c r="F106" s="1" t="s">
        <v>698</v>
      </c>
      <c r="G106" s="1" t="s">
        <v>698</v>
      </c>
      <c r="H106" s="1" t="s">
        <v>698</v>
      </c>
      <c r="I106" s="1" t="s">
        <v>698</v>
      </c>
      <c r="J106" s="1">
        <f t="shared" si="8"/>
        <v>1</v>
      </c>
      <c r="L106" s="1" t="s">
        <v>722</v>
      </c>
      <c r="M106" s="7">
        <v>4</v>
      </c>
      <c r="N106" s="5" t="s">
        <v>389</v>
      </c>
      <c r="O106" s="3" t="s">
        <v>544</v>
      </c>
      <c r="P106" s="3" t="s">
        <v>14</v>
      </c>
      <c r="Q106" s="3">
        <v>1</v>
      </c>
      <c r="R106" s="43">
        <f>VLOOKUP('90'!O106,Malzemeler!C:D,2,0)</f>
        <v>81.650000000000006</v>
      </c>
      <c r="S106" s="43">
        <f t="shared" si="5"/>
        <v>81.650000000000006</v>
      </c>
    </row>
    <row r="107" spans="1:19" x14ac:dyDescent="0.35">
      <c r="A107" s="104"/>
      <c r="B107" s="1">
        <v>90</v>
      </c>
      <c r="C107" s="1" t="s">
        <v>698</v>
      </c>
      <c r="D107" s="1" t="s">
        <v>698</v>
      </c>
      <c r="E107" s="1" t="s">
        <v>698</v>
      </c>
      <c r="F107" s="1" t="s">
        <v>698</v>
      </c>
      <c r="G107" s="1" t="s">
        <v>698</v>
      </c>
      <c r="H107" s="1" t="s">
        <v>698</v>
      </c>
      <c r="I107" s="1" t="s">
        <v>698</v>
      </c>
      <c r="J107" s="1">
        <f t="shared" si="8"/>
        <v>1</v>
      </c>
      <c r="L107" s="1" t="s">
        <v>722</v>
      </c>
      <c r="M107" s="7">
        <v>5</v>
      </c>
      <c r="N107" s="5" t="s">
        <v>49</v>
      </c>
      <c r="O107" s="3" t="s">
        <v>50</v>
      </c>
      <c r="P107" s="3" t="s">
        <v>14</v>
      </c>
      <c r="Q107" s="3">
        <v>1</v>
      </c>
      <c r="R107" s="43">
        <f>VLOOKUP('90'!O107,Malzemeler!C:D,2,0)</f>
        <v>46.47</v>
      </c>
      <c r="S107" s="43">
        <f t="shared" si="5"/>
        <v>46.47</v>
      </c>
    </row>
    <row r="108" spans="1:19" x14ac:dyDescent="0.35">
      <c r="A108" s="104"/>
      <c r="B108" s="1">
        <v>90</v>
      </c>
      <c r="C108" s="1" t="s">
        <v>698</v>
      </c>
      <c r="D108" s="1" t="s">
        <v>698</v>
      </c>
      <c r="E108" s="1" t="s">
        <v>698</v>
      </c>
      <c r="F108" s="1" t="s">
        <v>698</v>
      </c>
      <c r="G108" s="1" t="s">
        <v>698</v>
      </c>
      <c r="H108" s="1" t="s">
        <v>698</v>
      </c>
      <c r="I108" s="1" t="s">
        <v>698</v>
      </c>
      <c r="J108" s="1">
        <f t="shared" si="8"/>
        <v>1</v>
      </c>
      <c r="L108" s="1" t="s">
        <v>722</v>
      </c>
      <c r="M108" s="7">
        <v>6</v>
      </c>
      <c r="N108" s="5" t="s">
        <v>51</v>
      </c>
      <c r="O108" s="3" t="s">
        <v>52</v>
      </c>
      <c r="P108" s="3" t="s">
        <v>14</v>
      </c>
      <c r="Q108" s="3">
        <v>1</v>
      </c>
      <c r="R108" s="43">
        <f>VLOOKUP('90'!O108,Malzemeler!C:D,2,0)</f>
        <v>74.48</v>
      </c>
      <c r="S108" s="43">
        <f t="shared" si="5"/>
        <v>74.48</v>
      </c>
    </row>
    <row r="109" spans="1:19" x14ac:dyDescent="0.35">
      <c r="A109" s="104"/>
      <c r="B109" s="1">
        <v>90</v>
      </c>
      <c r="C109" s="1" t="s">
        <v>698</v>
      </c>
      <c r="D109" s="1" t="s">
        <v>698</v>
      </c>
      <c r="E109" s="1" t="s">
        <v>698</v>
      </c>
      <c r="F109" s="1" t="s">
        <v>698</v>
      </c>
      <c r="G109" s="1" t="s">
        <v>698</v>
      </c>
      <c r="H109" s="1" t="s">
        <v>698</v>
      </c>
      <c r="I109" s="1" t="s">
        <v>698</v>
      </c>
      <c r="J109" s="1">
        <f t="shared" si="8"/>
        <v>1</v>
      </c>
      <c r="L109" s="1" t="s">
        <v>722</v>
      </c>
      <c r="M109" s="7">
        <v>7</v>
      </c>
      <c r="N109" s="5" t="s">
        <v>31</v>
      </c>
      <c r="O109" s="3" t="s">
        <v>32</v>
      </c>
      <c r="P109" s="3" t="s">
        <v>14</v>
      </c>
      <c r="Q109" s="3">
        <v>1</v>
      </c>
      <c r="R109" s="43">
        <f>VLOOKUP('90'!O109,Malzemeler!C:D,2,0)</f>
        <v>675.52</v>
      </c>
      <c r="S109" s="43">
        <f t="shared" si="5"/>
        <v>675.52</v>
      </c>
    </row>
    <row r="110" spans="1:19" x14ac:dyDescent="0.35">
      <c r="A110" s="104"/>
      <c r="B110" s="1">
        <v>90</v>
      </c>
      <c r="C110" s="1" t="s">
        <v>698</v>
      </c>
      <c r="D110" s="1" t="s">
        <v>698</v>
      </c>
      <c r="E110" s="1" t="s">
        <v>698</v>
      </c>
      <c r="F110" s="1" t="s">
        <v>698</v>
      </c>
      <c r="G110" s="1" t="s">
        <v>698</v>
      </c>
      <c r="H110" s="1" t="s">
        <v>698</v>
      </c>
      <c r="I110" s="1" t="s">
        <v>698</v>
      </c>
      <c r="J110" s="1">
        <f t="shared" si="8"/>
        <v>1</v>
      </c>
      <c r="L110" s="1" t="s">
        <v>722</v>
      </c>
      <c r="M110" s="7">
        <v>8</v>
      </c>
      <c r="N110" s="5" t="s">
        <v>33</v>
      </c>
      <c r="O110" s="3" t="s">
        <v>34</v>
      </c>
      <c r="P110" s="3" t="s">
        <v>14</v>
      </c>
      <c r="Q110" s="3">
        <v>1</v>
      </c>
      <c r="R110" s="43">
        <f>VLOOKUP('90'!O110,Malzemeler!C:D,2,0)</f>
        <v>23.17</v>
      </c>
      <c r="S110" s="43">
        <f t="shared" si="5"/>
        <v>23.17</v>
      </c>
    </row>
    <row r="111" spans="1:19" x14ac:dyDescent="0.35">
      <c r="A111" s="104"/>
      <c r="B111" s="1">
        <v>90</v>
      </c>
      <c r="C111" s="1" t="s">
        <v>698</v>
      </c>
      <c r="D111" s="1" t="s">
        <v>698</v>
      </c>
      <c r="E111" s="1" t="s">
        <v>698</v>
      </c>
      <c r="F111" s="1" t="s">
        <v>698</v>
      </c>
      <c r="G111" s="1" t="s">
        <v>698</v>
      </c>
      <c r="H111" s="1" t="s">
        <v>698</v>
      </c>
      <c r="I111" s="1" t="s">
        <v>698</v>
      </c>
      <c r="J111" s="1">
        <f t="shared" si="8"/>
        <v>1</v>
      </c>
      <c r="L111" s="1" t="s">
        <v>722</v>
      </c>
      <c r="M111" s="7">
        <v>9</v>
      </c>
      <c r="N111" s="1" t="s">
        <v>35</v>
      </c>
      <c r="O111" s="3" t="s">
        <v>36</v>
      </c>
      <c r="P111" s="3" t="s">
        <v>14</v>
      </c>
      <c r="Q111" s="3">
        <v>1</v>
      </c>
      <c r="R111" s="43">
        <f>VLOOKUP('90'!O111,Malzemeler!C:D,2,0)</f>
        <v>130.16</v>
      </c>
      <c r="S111" s="43">
        <f t="shared" si="5"/>
        <v>130.16</v>
      </c>
    </row>
    <row r="112" spans="1:19" x14ac:dyDescent="0.35">
      <c r="A112" s="104"/>
      <c r="B112" s="1">
        <v>90</v>
      </c>
      <c r="C112" s="1" t="s">
        <v>698</v>
      </c>
      <c r="D112" s="1" t="s">
        <v>698</v>
      </c>
      <c r="E112" s="1" t="s">
        <v>698</v>
      </c>
      <c r="F112" s="1" t="s">
        <v>698</v>
      </c>
      <c r="G112" s="1" t="s">
        <v>698</v>
      </c>
      <c r="H112" s="1" t="s">
        <v>698</v>
      </c>
      <c r="I112" s="1" t="s">
        <v>698</v>
      </c>
      <c r="J112" s="1">
        <f t="shared" si="8"/>
        <v>1</v>
      </c>
      <c r="L112" s="1" t="s">
        <v>722</v>
      </c>
      <c r="M112" s="7">
        <v>10</v>
      </c>
      <c r="N112" s="5" t="s">
        <v>37</v>
      </c>
      <c r="O112" s="3" t="s">
        <v>38</v>
      </c>
      <c r="P112" s="3" t="s">
        <v>14</v>
      </c>
      <c r="Q112" s="3">
        <v>1</v>
      </c>
      <c r="R112" s="43">
        <f>VLOOKUP('90'!O112,Malzemeler!C:D,2,0)</f>
        <v>130.16</v>
      </c>
      <c r="S112" s="43">
        <f t="shared" si="5"/>
        <v>130.16</v>
      </c>
    </row>
    <row r="113" spans="1:19" x14ac:dyDescent="0.35">
      <c r="A113" s="104"/>
      <c r="B113" s="1">
        <v>90</v>
      </c>
      <c r="C113" s="1" t="s">
        <v>698</v>
      </c>
      <c r="D113" s="1" t="s">
        <v>698</v>
      </c>
      <c r="E113" s="1" t="s">
        <v>698</v>
      </c>
      <c r="F113" s="1" t="s">
        <v>698</v>
      </c>
      <c r="G113" s="1" t="s">
        <v>698</v>
      </c>
      <c r="H113" s="1" t="s">
        <v>698</v>
      </c>
      <c r="I113" s="1" t="s">
        <v>698</v>
      </c>
      <c r="J113" s="1">
        <f t="shared" si="8"/>
        <v>1</v>
      </c>
      <c r="L113" s="1" t="s">
        <v>722</v>
      </c>
      <c r="M113" s="7">
        <v>11</v>
      </c>
      <c r="N113" s="5" t="s">
        <v>39</v>
      </c>
      <c r="O113" s="3" t="s">
        <v>40</v>
      </c>
      <c r="P113" s="3" t="s">
        <v>14</v>
      </c>
      <c r="Q113" s="3">
        <v>2</v>
      </c>
      <c r="R113" s="43">
        <f>VLOOKUP('90'!O113,Malzemeler!C:D,2,0)</f>
        <v>4.7300000000000004</v>
      </c>
      <c r="S113" s="43">
        <f t="shared" si="5"/>
        <v>9.4600000000000009</v>
      </c>
    </row>
    <row r="114" spans="1:19" x14ac:dyDescent="0.35">
      <c r="A114" s="104"/>
      <c r="B114" s="1">
        <v>90</v>
      </c>
      <c r="C114" s="1" t="s">
        <v>698</v>
      </c>
      <c r="D114" s="1" t="s">
        <v>698</v>
      </c>
      <c r="E114" s="1" t="s">
        <v>698</v>
      </c>
      <c r="F114" s="1" t="s">
        <v>698</v>
      </c>
      <c r="G114" s="1" t="s">
        <v>698</v>
      </c>
      <c r="H114" s="1" t="s">
        <v>698</v>
      </c>
      <c r="I114" s="1" t="s">
        <v>698</v>
      </c>
      <c r="J114" s="1">
        <f t="shared" si="8"/>
        <v>1</v>
      </c>
      <c r="L114" s="1" t="s">
        <v>722</v>
      </c>
      <c r="M114" s="7">
        <v>12</v>
      </c>
      <c r="N114" s="5" t="s">
        <v>41</v>
      </c>
      <c r="O114" s="3" t="s">
        <v>42</v>
      </c>
      <c r="P114" s="3" t="s">
        <v>14</v>
      </c>
      <c r="Q114" s="3">
        <v>2</v>
      </c>
      <c r="R114" s="43">
        <f>VLOOKUP('90'!O114,Malzemeler!C:D,2,0)</f>
        <v>155.05000000000001</v>
      </c>
      <c r="S114" s="43">
        <f t="shared" si="5"/>
        <v>310.10000000000002</v>
      </c>
    </row>
    <row r="115" spans="1:19" x14ac:dyDescent="0.35">
      <c r="A115" s="104"/>
      <c r="B115" s="1">
        <v>90</v>
      </c>
      <c r="C115" s="1" t="s">
        <v>698</v>
      </c>
      <c r="D115" s="1" t="s">
        <v>698</v>
      </c>
      <c r="E115" s="1" t="s">
        <v>698</v>
      </c>
      <c r="F115" s="1" t="s">
        <v>698</v>
      </c>
      <c r="G115" s="1" t="s">
        <v>698</v>
      </c>
      <c r="H115" s="1" t="s">
        <v>698</v>
      </c>
      <c r="I115" s="1" t="s">
        <v>698</v>
      </c>
      <c r="J115" s="1">
        <f t="shared" si="8"/>
        <v>1</v>
      </c>
      <c r="L115" s="1" t="s">
        <v>722</v>
      </c>
      <c r="M115" s="7">
        <v>13</v>
      </c>
      <c r="N115" s="5" t="s">
        <v>43</v>
      </c>
      <c r="O115" s="3" t="s">
        <v>44</v>
      </c>
      <c r="P115" s="3" t="s">
        <v>14</v>
      </c>
      <c r="Q115" s="3">
        <v>1</v>
      </c>
      <c r="R115" s="43">
        <f>VLOOKUP('90'!O115,Malzemeler!C:D,2,0)</f>
        <v>238.61</v>
      </c>
      <c r="S115" s="43">
        <f t="shared" si="5"/>
        <v>238.61</v>
      </c>
    </row>
    <row r="116" spans="1:19" x14ac:dyDescent="0.35">
      <c r="A116" s="104"/>
      <c r="B116" s="1">
        <v>90</v>
      </c>
      <c r="C116" s="1" t="s">
        <v>698</v>
      </c>
      <c r="D116" s="1" t="s">
        <v>698</v>
      </c>
      <c r="E116" s="1" t="s">
        <v>698</v>
      </c>
      <c r="F116" s="1" t="s">
        <v>698</v>
      </c>
      <c r="G116" s="1" t="s">
        <v>698</v>
      </c>
      <c r="H116" s="1" t="s">
        <v>698</v>
      </c>
      <c r="I116" s="1" t="s">
        <v>698</v>
      </c>
      <c r="J116" s="1">
        <f t="shared" si="8"/>
        <v>1</v>
      </c>
      <c r="L116" s="1" t="s">
        <v>722</v>
      </c>
      <c r="M116" s="7">
        <v>14</v>
      </c>
      <c r="N116" s="5" t="s">
        <v>45</v>
      </c>
      <c r="O116" s="3" t="s">
        <v>46</v>
      </c>
      <c r="P116" s="3" t="s">
        <v>14</v>
      </c>
      <c r="Q116" s="3">
        <v>1</v>
      </c>
      <c r="R116" s="43">
        <f>VLOOKUP('90'!O116,Malzemeler!C:D,2,0)</f>
        <v>10.84</v>
      </c>
      <c r="S116" s="43">
        <f t="shared" si="5"/>
        <v>10.84</v>
      </c>
    </row>
    <row r="117" spans="1:19" x14ac:dyDescent="0.35">
      <c r="A117" s="104"/>
      <c r="B117" s="1">
        <v>90</v>
      </c>
      <c r="C117" s="1" t="s">
        <v>698</v>
      </c>
      <c r="D117" s="1" t="s">
        <v>698</v>
      </c>
      <c r="E117" s="1" t="s">
        <v>698</v>
      </c>
      <c r="F117" s="1" t="s">
        <v>698</v>
      </c>
      <c r="G117" s="1" t="s">
        <v>698</v>
      </c>
      <c r="H117" s="1" t="s">
        <v>698</v>
      </c>
      <c r="I117" s="1" t="s">
        <v>698</v>
      </c>
      <c r="J117" s="1">
        <f t="shared" si="8"/>
        <v>1</v>
      </c>
      <c r="L117" s="1" t="s">
        <v>722</v>
      </c>
      <c r="M117" s="7">
        <v>15</v>
      </c>
      <c r="N117" s="5" t="s">
        <v>47</v>
      </c>
      <c r="O117" s="3" t="s">
        <v>48</v>
      </c>
      <c r="P117" s="3" t="s">
        <v>14</v>
      </c>
      <c r="Q117" s="3">
        <v>1</v>
      </c>
      <c r="R117" s="43">
        <f>VLOOKUP('90'!O117,Malzemeler!C:D,2,0)</f>
        <v>22.83</v>
      </c>
      <c r="S117" s="43">
        <f t="shared" si="5"/>
        <v>22.83</v>
      </c>
    </row>
    <row r="118" spans="1:19" x14ac:dyDescent="0.35">
      <c r="A118" s="104"/>
      <c r="B118" s="1">
        <v>90</v>
      </c>
      <c r="C118" s="1" t="s">
        <v>698</v>
      </c>
      <c r="D118" s="1" t="s">
        <v>698</v>
      </c>
      <c r="E118" s="1" t="s">
        <v>698</v>
      </c>
      <c r="F118" s="1" t="s">
        <v>698</v>
      </c>
      <c r="G118" s="1" t="s">
        <v>698</v>
      </c>
      <c r="H118" s="1" t="s">
        <v>698</v>
      </c>
      <c r="I118" s="1" t="s">
        <v>698</v>
      </c>
      <c r="J118" s="1">
        <f t="shared" si="8"/>
        <v>1</v>
      </c>
      <c r="L118" s="1" t="s">
        <v>722</v>
      </c>
      <c r="M118" s="7">
        <v>16</v>
      </c>
      <c r="N118" s="5" t="s">
        <v>593</v>
      </c>
      <c r="O118" s="3" t="s">
        <v>592</v>
      </c>
      <c r="P118" s="3" t="s">
        <v>14</v>
      </c>
      <c r="Q118" s="3">
        <v>1</v>
      </c>
      <c r="R118" s="43">
        <f>VLOOKUP('90'!O118,Malzemeler!C:D,2,0)</f>
        <v>0</v>
      </c>
      <c r="S118" s="43">
        <f t="shared" si="5"/>
        <v>0</v>
      </c>
    </row>
    <row r="119" spans="1:19" x14ac:dyDescent="0.35">
      <c r="A119" s="104"/>
      <c r="B119" s="1">
        <v>90</v>
      </c>
      <c r="C119" s="1" t="s">
        <v>698</v>
      </c>
      <c r="D119" s="1" t="s">
        <v>698</v>
      </c>
      <c r="E119" s="1" t="s">
        <v>698</v>
      </c>
      <c r="F119" s="1" t="s">
        <v>698</v>
      </c>
      <c r="G119" s="1" t="s">
        <v>698</v>
      </c>
      <c r="H119" s="1" t="s">
        <v>698</v>
      </c>
      <c r="I119" s="1" t="s">
        <v>698</v>
      </c>
      <c r="J119" s="1">
        <f t="shared" si="8"/>
        <v>1</v>
      </c>
      <c r="L119" s="1" t="s">
        <v>722</v>
      </c>
      <c r="M119" s="7">
        <v>17</v>
      </c>
      <c r="N119" s="5" t="s">
        <v>594</v>
      </c>
      <c r="O119" s="3" t="s">
        <v>595</v>
      </c>
      <c r="P119" s="3" t="s">
        <v>14</v>
      </c>
      <c r="Q119" s="3">
        <v>1</v>
      </c>
      <c r="R119" s="43">
        <f>VLOOKUP('90'!O119,Malzemeler!C:D,2,0)</f>
        <v>0</v>
      </c>
      <c r="S119" s="43">
        <f t="shared" si="5"/>
        <v>0</v>
      </c>
    </row>
    <row r="120" spans="1:19" x14ac:dyDescent="0.35">
      <c r="A120" s="104"/>
      <c r="B120" s="1">
        <v>90</v>
      </c>
      <c r="C120" s="1" t="s">
        <v>698</v>
      </c>
      <c r="D120" s="1" t="s">
        <v>698</v>
      </c>
      <c r="E120" s="1" t="s">
        <v>698</v>
      </c>
      <c r="F120" s="1" t="s">
        <v>698</v>
      </c>
      <c r="G120" s="1" t="s">
        <v>698</v>
      </c>
      <c r="H120" s="1" t="s">
        <v>698</v>
      </c>
      <c r="I120" s="1" t="s">
        <v>698</v>
      </c>
      <c r="J120" s="1">
        <f t="shared" si="8"/>
        <v>1</v>
      </c>
      <c r="L120" s="1" t="s">
        <v>722</v>
      </c>
      <c r="M120" s="7">
        <v>18</v>
      </c>
      <c r="N120" s="5" t="s">
        <v>632</v>
      </c>
      <c r="O120" s="3" t="s">
        <v>650</v>
      </c>
      <c r="P120" s="3" t="s">
        <v>14</v>
      </c>
      <c r="Q120" s="3">
        <v>1</v>
      </c>
      <c r="R120" s="43">
        <f>VLOOKUP('90'!O120,Malzemeler!C:D,2,0)</f>
        <v>0</v>
      </c>
      <c r="S120" s="43">
        <f t="shared" si="5"/>
        <v>0</v>
      </c>
    </row>
    <row r="121" spans="1:19" x14ac:dyDescent="0.35">
      <c r="A121" s="104"/>
      <c r="B121" s="1">
        <v>90</v>
      </c>
      <c r="C121" s="1" t="s">
        <v>698</v>
      </c>
      <c r="D121" s="1" t="s">
        <v>698</v>
      </c>
      <c r="E121" s="1" t="s">
        <v>698</v>
      </c>
      <c r="F121" s="1" t="s">
        <v>698</v>
      </c>
      <c r="G121" s="1" t="s">
        <v>698</v>
      </c>
      <c r="H121" s="1" t="s">
        <v>698</v>
      </c>
      <c r="I121" s="1" t="s">
        <v>698</v>
      </c>
      <c r="J121" s="1">
        <f t="shared" si="8"/>
        <v>1</v>
      </c>
      <c r="L121" s="1" t="s">
        <v>722</v>
      </c>
      <c r="M121" s="7">
        <v>19</v>
      </c>
      <c r="N121" s="5" t="s">
        <v>598</v>
      </c>
      <c r="O121" s="3" t="s">
        <v>597</v>
      </c>
      <c r="P121" s="3" t="s">
        <v>14</v>
      </c>
      <c r="Q121" s="3">
        <v>1</v>
      </c>
      <c r="R121" s="43">
        <f>VLOOKUP('90'!O121,Malzemeler!C:D,2,0)</f>
        <v>0</v>
      </c>
      <c r="S121" s="43">
        <f t="shared" si="5"/>
        <v>0</v>
      </c>
    </row>
    <row r="122" spans="1:19" x14ac:dyDescent="0.35">
      <c r="A122" s="104"/>
      <c r="B122" s="1">
        <v>90</v>
      </c>
      <c r="C122" s="1" t="s">
        <v>698</v>
      </c>
      <c r="D122" s="1" t="s">
        <v>698</v>
      </c>
      <c r="E122" s="1" t="s">
        <v>698</v>
      </c>
      <c r="F122" s="1" t="s">
        <v>698</v>
      </c>
      <c r="G122" s="1" t="s">
        <v>698</v>
      </c>
      <c r="H122" s="1" t="s">
        <v>698</v>
      </c>
      <c r="I122" s="1" t="s">
        <v>698</v>
      </c>
      <c r="J122" s="1">
        <f t="shared" si="8"/>
        <v>1</v>
      </c>
      <c r="L122" s="1" t="s">
        <v>722</v>
      </c>
      <c r="M122" s="7">
        <v>20</v>
      </c>
      <c r="N122" s="5" t="s">
        <v>631</v>
      </c>
      <c r="O122" s="3" t="s">
        <v>630</v>
      </c>
      <c r="P122" s="3" t="s">
        <v>14</v>
      </c>
      <c r="Q122" s="3">
        <v>1</v>
      </c>
      <c r="R122" s="43">
        <f>VLOOKUP('90'!O122,Malzemeler!C:D,2,0)</f>
        <v>0</v>
      </c>
      <c r="S122" s="43">
        <f t="shared" si="5"/>
        <v>0</v>
      </c>
    </row>
    <row r="123" spans="1:19" x14ac:dyDescent="0.35">
      <c r="A123" s="104"/>
      <c r="B123" s="1">
        <v>90</v>
      </c>
      <c r="C123" s="1" t="s">
        <v>698</v>
      </c>
      <c r="D123" s="1" t="s">
        <v>698</v>
      </c>
      <c r="E123" s="1" t="s">
        <v>698</v>
      </c>
      <c r="F123" s="1" t="s">
        <v>698</v>
      </c>
      <c r="G123" s="1" t="s">
        <v>698</v>
      </c>
      <c r="H123" s="1" t="s">
        <v>698</v>
      </c>
      <c r="I123" s="1" t="s">
        <v>698</v>
      </c>
      <c r="J123" s="1">
        <f t="shared" si="8"/>
        <v>1</v>
      </c>
      <c r="L123" s="1" t="s">
        <v>722</v>
      </c>
      <c r="M123" s="7">
        <v>21</v>
      </c>
      <c r="N123" s="5" t="s">
        <v>678</v>
      </c>
      <c r="O123" s="3" t="s">
        <v>679</v>
      </c>
      <c r="P123" s="3" t="s">
        <v>14</v>
      </c>
      <c r="Q123" s="3">
        <v>1</v>
      </c>
      <c r="R123" s="43">
        <f>VLOOKUP('90'!O123,Malzemeler!C:D,2,0)</f>
        <v>0</v>
      </c>
      <c r="S123" s="43">
        <f t="shared" si="5"/>
        <v>0</v>
      </c>
    </row>
    <row r="124" spans="1:19" x14ac:dyDescent="0.35">
      <c r="A124" s="104"/>
      <c r="B124" s="1">
        <v>90</v>
      </c>
      <c r="C124" s="1" t="s">
        <v>698</v>
      </c>
      <c r="D124" s="1" t="s">
        <v>698</v>
      </c>
      <c r="E124" s="1" t="s">
        <v>698</v>
      </c>
      <c r="F124" s="1" t="s">
        <v>698</v>
      </c>
      <c r="G124" s="1" t="s">
        <v>698</v>
      </c>
      <c r="H124" s="1" t="s">
        <v>698</v>
      </c>
      <c r="I124" s="1" t="s">
        <v>698</v>
      </c>
      <c r="J124" s="1">
        <f t="shared" si="8"/>
        <v>1</v>
      </c>
      <c r="L124" s="1" t="s">
        <v>722</v>
      </c>
      <c r="M124" s="7">
        <v>22</v>
      </c>
      <c r="N124" s="5" t="s">
        <v>147</v>
      </c>
      <c r="O124" s="3" t="s">
        <v>263</v>
      </c>
      <c r="P124" s="3" t="s">
        <v>14</v>
      </c>
      <c r="Q124" s="3">
        <v>2</v>
      </c>
      <c r="R124" s="43">
        <f>VLOOKUP('90'!O124,Malzemeler!C:D,2,0)</f>
        <v>20</v>
      </c>
      <c r="S124" s="43">
        <f t="shared" si="5"/>
        <v>40</v>
      </c>
    </row>
    <row r="125" spans="1:19" x14ac:dyDescent="0.35">
      <c r="A125" s="104"/>
      <c r="B125" s="1">
        <v>90</v>
      </c>
      <c r="C125" s="1" t="s">
        <v>698</v>
      </c>
      <c r="D125" s="1" t="s">
        <v>698</v>
      </c>
      <c r="E125" s="1" t="s">
        <v>698</v>
      </c>
      <c r="F125" s="1" t="s">
        <v>698</v>
      </c>
      <c r="G125" s="1" t="s">
        <v>698</v>
      </c>
      <c r="H125" s="1" t="s">
        <v>698</v>
      </c>
      <c r="I125" s="1" t="s">
        <v>698</v>
      </c>
      <c r="J125" s="1">
        <f t="shared" si="8"/>
        <v>1</v>
      </c>
      <c r="L125" s="1" t="s">
        <v>722</v>
      </c>
      <c r="M125" s="7">
        <v>23</v>
      </c>
      <c r="N125" s="5" t="s">
        <v>299</v>
      </c>
      <c r="O125" s="3" t="s">
        <v>300</v>
      </c>
      <c r="P125" s="3" t="s">
        <v>14</v>
      </c>
      <c r="Q125" s="3">
        <v>1</v>
      </c>
      <c r="R125" s="43">
        <f>VLOOKUP('90'!O125,Malzemeler!C:D,2,0)</f>
        <v>96.69</v>
      </c>
      <c r="S125" s="43">
        <f t="shared" si="5"/>
        <v>96.69</v>
      </c>
    </row>
    <row r="126" spans="1:19" x14ac:dyDescent="0.35">
      <c r="A126" s="104"/>
      <c r="B126" s="1">
        <v>90</v>
      </c>
      <c r="C126" s="1" t="s">
        <v>698</v>
      </c>
      <c r="D126" s="1" t="s">
        <v>698</v>
      </c>
      <c r="E126" s="1" t="s">
        <v>698</v>
      </c>
      <c r="F126" s="1" t="s">
        <v>698</v>
      </c>
      <c r="G126" s="1" t="s">
        <v>698</v>
      </c>
      <c r="H126" s="1" t="s">
        <v>698</v>
      </c>
      <c r="I126" s="1" t="s">
        <v>698</v>
      </c>
      <c r="J126" s="1">
        <f t="shared" si="8"/>
        <v>1</v>
      </c>
      <c r="L126" s="1" t="s">
        <v>722</v>
      </c>
      <c r="M126" s="7">
        <v>24</v>
      </c>
      <c r="N126" s="5" t="s">
        <v>219</v>
      </c>
      <c r="O126" s="3" t="s">
        <v>220</v>
      </c>
      <c r="P126" s="3" t="s">
        <v>14</v>
      </c>
      <c r="Q126" s="3">
        <v>1</v>
      </c>
      <c r="R126" s="43">
        <f>VLOOKUP('90'!O126,Malzemeler!C:D,2,0)</f>
        <v>85.4</v>
      </c>
      <c r="S126" s="43">
        <f t="shared" si="5"/>
        <v>85.4</v>
      </c>
    </row>
    <row r="127" spans="1:19" x14ac:dyDescent="0.35">
      <c r="A127" s="104"/>
      <c r="B127" s="1">
        <v>90</v>
      </c>
      <c r="C127" s="1" t="s">
        <v>698</v>
      </c>
      <c r="D127" s="1" t="s">
        <v>698</v>
      </c>
      <c r="E127" s="1" t="s">
        <v>698</v>
      </c>
      <c r="F127" s="1" t="s">
        <v>698</v>
      </c>
      <c r="G127" s="1" t="s">
        <v>698</v>
      </c>
      <c r="H127" s="1" t="s">
        <v>698</v>
      </c>
      <c r="I127" s="1" t="s">
        <v>698</v>
      </c>
      <c r="J127" s="1">
        <f t="shared" si="8"/>
        <v>1</v>
      </c>
      <c r="L127" s="1" t="s">
        <v>722</v>
      </c>
      <c r="M127" s="7">
        <v>25</v>
      </c>
      <c r="N127" s="5" t="s">
        <v>584</v>
      </c>
      <c r="O127" s="3" t="s">
        <v>585</v>
      </c>
      <c r="P127" s="3" t="s">
        <v>14</v>
      </c>
      <c r="Q127" s="3">
        <v>1</v>
      </c>
      <c r="R127" s="43">
        <f>VLOOKUP('90'!O127,Malzemeler!C:D,2,0)</f>
        <v>72.290000000000006</v>
      </c>
      <c r="S127" s="43">
        <f t="shared" si="5"/>
        <v>72.290000000000006</v>
      </c>
    </row>
    <row r="128" spans="1:19" x14ac:dyDescent="0.35">
      <c r="A128" s="104"/>
      <c r="B128" s="1">
        <v>90</v>
      </c>
      <c r="C128" s="1" t="s">
        <v>698</v>
      </c>
      <c r="D128" s="1" t="s">
        <v>698</v>
      </c>
      <c r="E128" s="1" t="s">
        <v>698</v>
      </c>
      <c r="F128" s="1" t="s">
        <v>698</v>
      </c>
      <c r="G128" s="1" t="s">
        <v>698</v>
      </c>
      <c r="H128" s="1" t="s">
        <v>698</v>
      </c>
      <c r="I128" s="1" t="s">
        <v>698</v>
      </c>
      <c r="J128" s="1">
        <f t="shared" si="8"/>
        <v>1</v>
      </c>
      <c r="L128" s="1" t="s">
        <v>722</v>
      </c>
      <c r="M128" s="7">
        <v>26</v>
      </c>
      <c r="N128" s="5" t="s">
        <v>589</v>
      </c>
      <c r="O128" s="3" t="s">
        <v>596</v>
      </c>
      <c r="P128" s="3" t="s">
        <v>14</v>
      </c>
      <c r="Q128" s="3">
        <v>2</v>
      </c>
      <c r="R128" s="43">
        <f>VLOOKUP('90'!O128,Malzemeler!C:D,2,0)</f>
        <v>59.21</v>
      </c>
      <c r="S128" s="43">
        <f t="shared" si="5"/>
        <v>118.42</v>
      </c>
    </row>
    <row r="129" spans="1:19" x14ac:dyDescent="0.35">
      <c r="A129" s="104"/>
      <c r="B129" s="1">
        <v>90</v>
      </c>
      <c r="C129" s="1" t="s">
        <v>698</v>
      </c>
      <c r="D129" s="1" t="s">
        <v>698</v>
      </c>
      <c r="E129" s="1" t="s">
        <v>698</v>
      </c>
      <c r="F129" s="1" t="s">
        <v>698</v>
      </c>
      <c r="G129" s="1" t="s">
        <v>698</v>
      </c>
      <c r="H129" s="1" t="s">
        <v>698</v>
      </c>
      <c r="I129" s="1" t="s">
        <v>698</v>
      </c>
      <c r="J129" s="1">
        <f t="shared" si="8"/>
        <v>1</v>
      </c>
      <c r="L129" s="1" t="s">
        <v>722</v>
      </c>
      <c r="M129" s="7">
        <v>27</v>
      </c>
      <c r="N129" s="5" t="s">
        <v>434</v>
      </c>
      <c r="O129" s="3" t="s">
        <v>435</v>
      </c>
      <c r="P129" s="3" t="s">
        <v>14</v>
      </c>
      <c r="Q129" s="3">
        <v>1</v>
      </c>
      <c r="R129" s="43">
        <f>VLOOKUP('90'!O129,Malzemeler!C:D,2,0)</f>
        <v>104.28</v>
      </c>
      <c r="S129" s="43">
        <f t="shared" si="5"/>
        <v>104.28</v>
      </c>
    </row>
    <row r="130" spans="1:19" x14ac:dyDescent="0.35">
      <c r="A130" s="104"/>
      <c r="B130" s="1">
        <v>90</v>
      </c>
      <c r="C130" s="1" t="s">
        <v>698</v>
      </c>
      <c r="D130" s="1" t="s">
        <v>698</v>
      </c>
      <c r="E130" s="1" t="s">
        <v>698</v>
      </c>
      <c r="F130" s="1" t="s">
        <v>698</v>
      </c>
      <c r="G130" s="1" t="s">
        <v>698</v>
      </c>
      <c r="H130" s="1" t="s">
        <v>698</v>
      </c>
      <c r="I130" s="1" t="s">
        <v>698</v>
      </c>
      <c r="J130" s="1">
        <f t="shared" si="8"/>
        <v>1</v>
      </c>
      <c r="L130" s="1" t="s">
        <v>722</v>
      </c>
      <c r="M130" s="7">
        <v>28</v>
      </c>
      <c r="N130" s="5" t="s">
        <v>436</v>
      </c>
      <c r="O130" s="3" t="s">
        <v>437</v>
      </c>
      <c r="P130" s="3" t="s">
        <v>14</v>
      </c>
      <c r="Q130" s="3">
        <v>1</v>
      </c>
      <c r="R130" s="43">
        <f>VLOOKUP('90'!O130,Malzemeler!C:D,2,0)</f>
        <v>107.57999999999998</v>
      </c>
      <c r="S130" s="43">
        <f t="shared" si="5"/>
        <v>107.57999999999998</v>
      </c>
    </row>
    <row r="131" spans="1:19" x14ac:dyDescent="0.35">
      <c r="A131" s="104"/>
      <c r="B131" s="1">
        <v>90</v>
      </c>
      <c r="C131" s="1" t="s">
        <v>698</v>
      </c>
      <c r="D131" s="1" t="s">
        <v>698</v>
      </c>
      <c r="E131" s="1" t="s">
        <v>698</v>
      </c>
      <c r="F131" s="1" t="s">
        <v>698</v>
      </c>
      <c r="G131" s="1" t="s">
        <v>698</v>
      </c>
      <c r="H131" s="1" t="s">
        <v>698</v>
      </c>
      <c r="I131" s="1" t="s">
        <v>698</v>
      </c>
      <c r="J131" s="1">
        <f t="shared" ref="J131:J175" si="9">SUBTOTAL(103,B131)</f>
        <v>1</v>
      </c>
      <c r="L131" s="1" t="s">
        <v>722</v>
      </c>
      <c r="M131" s="7">
        <v>29</v>
      </c>
      <c r="N131" s="5" t="s">
        <v>688</v>
      </c>
      <c r="O131" s="3" t="s">
        <v>697</v>
      </c>
      <c r="P131" s="3" t="s">
        <v>14</v>
      </c>
      <c r="Q131" s="3">
        <v>1</v>
      </c>
      <c r="R131" s="43">
        <f>VLOOKUP('90'!O131,Malzemeler!C:D,2,0)</f>
        <v>0</v>
      </c>
      <c r="S131" s="43">
        <f t="shared" ref="S131:S180" si="10">+R131*Q131</f>
        <v>0</v>
      </c>
    </row>
    <row r="132" spans="1:19" x14ac:dyDescent="0.35">
      <c r="A132" s="104"/>
      <c r="B132" s="1">
        <v>90</v>
      </c>
      <c r="C132" s="1" t="s">
        <v>698</v>
      </c>
      <c r="D132" s="1" t="s">
        <v>698</v>
      </c>
      <c r="E132" s="1" t="s">
        <v>698</v>
      </c>
      <c r="F132" s="1" t="s">
        <v>698</v>
      </c>
      <c r="G132" s="1" t="s">
        <v>698</v>
      </c>
      <c r="H132" s="1" t="s">
        <v>698</v>
      </c>
      <c r="I132" s="1" t="s">
        <v>698</v>
      </c>
      <c r="J132" s="1">
        <f t="shared" si="9"/>
        <v>1</v>
      </c>
      <c r="L132" s="1" t="s">
        <v>722</v>
      </c>
      <c r="M132" s="7">
        <v>30</v>
      </c>
      <c r="N132" s="1" t="s">
        <v>628</v>
      </c>
      <c r="O132" s="3" t="s">
        <v>629</v>
      </c>
      <c r="P132" s="3" t="s">
        <v>14</v>
      </c>
      <c r="Q132" s="3">
        <v>1</v>
      </c>
      <c r="R132" s="43">
        <f>VLOOKUP('90'!O132,Malzemeler!C:D,2,0)</f>
        <v>0</v>
      </c>
      <c r="S132" s="43">
        <f t="shared" si="10"/>
        <v>0</v>
      </c>
    </row>
    <row r="133" spans="1:19" x14ac:dyDescent="0.35">
      <c r="A133" s="104"/>
      <c r="B133" s="1">
        <v>90</v>
      </c>
      <c r="C133" s="1" t="s">
        <v>698</v>
      </c>
      <c r="D133" s="1" t="s">
        <v>698</v>
      </c>
      <c r="E133" s="1" t="s">
        <v>698</v>
      </c>
      <c r="F133" s="1" t="s">
        <v>698</v>
      </c>
      <c r="G133" s="1" t="s">
        <v>698</v>
      </c>
      <c r="H133" s="1" t="s">
        <v>698</v>
      </c>
      <c r="I133" s="1" t="s">
        <v>698</v>
      </c>
      <c r="J133" s="1">
        <f t="shared" ref="J133" si="11">SUBTOTAL(103,B133)</f>
        <v>1</v>
      </c>
      <c r="L133" s="1" t="s">
        <v>722</v>
      </c>
      <c r="M133" s="7">
        <v>31</v>
      </c>
      <c r="N133" s="1" t="s">
        <v>730</v>
      </c>
      <c r="O133" s="3" t="s">
        <v>729</v>
      </c>
      <c r="P133" s="3" t="s">
        <v>14</v>
      </c>
      <c r="Q133" s="3">
        <v>55</v>
      </c>
      <c r="R133" s="43">
        <f>VLOOKUP('90'!O133,Malzemeler!C:D,2,0)</f>
        <v>0</v>
      </c>
      <c r="S133" s="43">
        <f t="shared" si="10"/>
        <v>0</v>
      </c>
    </row>
    <row r="134" spans="1:19" x14ac:dyDescent="0.35">
      <c r="A134" s="42"/>
      <c r="B134" s="1">
        <v>90</v>
      </c>
      <c r="C134" s="1" t="s">
        <v>698</v>
      </c>
      <c r="D134" s="1" t="s">
        <v>698</v>
      </c>
      <c r="E134" s="1" t="s">
        <v>698</v>
      </c>
      <c r="F134" s="1" t="s">
        <v>698</v>
      </c>
      <c r="G134" s="1" t="s">
        <v>698</v>
      </c>
      <c r="H134" s="1" t="s">
        <v>698</v>
      </c>
      <c r="I134" s="1" t="s">
        <v>698</v>
      </c>
      <c r="J134" s="1">
        <f t="shared" ref="J134:J137" si="12">SUBTOTAL(103,B134)</f>
        <v>1</v>
      </c>
      <c r="L134" s="1" t="s">
        <v>722</v>
      </c>
      <c r="M134" s="7">
        <v>32</v>
      </c>
      <c r="N134" s="1" t="s">
        <v>750</v>
      </c>
      <c r="O134" s="3" t="s">
        <v>753</v>
      </c>
      <c r="P134" s="3" t="s">
        <v>135</v>
      </c>
      <c r="Q134" s="15">
        <v>45</v>
      </c>
      <c r="R134" s="43">
        <f>VLOOKUP('90'!O134,Malzemeler!C:D,2,0)</f>
        <v>0</v>
      </c>
      <c r="S134" s="43">
        <f t="shared" ref="S134:S137" si="13">+R134*Q134</f>
        <v>0</v>
      </c>
    </row>
    <row r="135" spans="1:19" x14ac:dyDescent="0.35">
      <c r="A135" s="42"/>
      <c r="B135" s="1">
        <v>90</v>
      </c>
      <c r="C135" s="1" t="s">
        <v>698</v>
      </c>
      <c r="D135" s="1" t="s">
        <v>698</v>
      </c>
      <c r="E135" s="1" t="s">
        <v>698</v>
      </c>
      <c r="F135" s="1" t="s">
        <v>698</v>
      </c>
      <c r="G135" s="1" t="s">
        <v>698</v>
      </c>
      <c r="H135" s="1" t="s">
        <v>698</v>
      </c>
      <c r="I135" s="1" t="s">
        <v>698</v>
      </c>
      <c r="J135" s="1">
        <f t="shared" si="12"/>
        <v>1</v>
      </c>
      <c r="L135" s="1" t="s">
        <v>722</v>
      </c>
      <c r="M135" s="7">
        <v>33</v>
      </c>
      <c r="N135" s="1" t="s">
        <v>760</v>
      </c>
      <c r="O135" s="3" t="s">
        <v>761</v>
      </c>
      <c r="P135" s="3" t="s">
        <v>135</v>
      </c>
      <c r="Q135" s="15">
        <v>8</v>
      </c>
      <c r="R135" s="43">
        <f>VLOOKUP('90'!O135,Malzemeler!C:D,2,0)</f>
        <v>0</v>
      </c>
      <c r="S135" s="43">
        <f t="shared" si="13"/>
        <v>0</v>
      </c>
    </row>
    <row r="136" spans="1:19" x14ac:dyDescent="0.35">
      <c r="A136" s="42"/>
      <c r="B136" s="1">
        <v>90</v>
      </c>
      <c r="C136" s="1" t="s">
        <v>698</v>
      </c>
      <c r="D136" s="1" t="s">
        <v>698</v>
      </c>
      <c r="E136" s="1" t="s">
        <v>698</v>
      </c>
      <c r="F136" s="1" t="s">
        <v>698</v>
      </c>
      <c r="G136" s="1" t="s">
        <v>698</v>
      </c>
      <c r="H136" s="1" t="s">
        <v>698</v>
      </c>
      <c r="I136" s="1" t="s">
        <v>698</v>
      </c>
      <c r="J136" s="1">
        <f t="shared" si="12"/>
        <v>1</v>
      </c>
      <c r="L136" s="1" t="s">
        <v>722</v>
      </c>
      <c r="M136" s="7">
        <v>34</v>
      </c>
      <c r="N136" s="1" t="s">
        <v>751</v>
      </c>
      <c r="O136" s="3" t="s">
        <v>754</v>
      </c>
      <c r="P136" s="3" t="s">
        <v>135</v>
      </c>
      <c r="Q136" s="15">
        <v>130</v>
      </c>
      <c r="R136" s="43">
        <f>VLOOKUP('90'!O136,Malzemeler!C:D,2,0)</f>
        <v>0</v>
      </c>
      <c r="S136" s="43">
        <f t="shared" si="13"/>
        <v>0</v>
      </c>
    </row>
    <row r="137" spans="1:19" x14ac:dyDescent="0.35">
      <c r="A137" s="42"/>
      <c r="B137" s="1">
        <v>90</v>
      </c>
      <c r="C137" s="1" t="s">
        <v>698</v>
      </c>
      <c r="D137" s="1" t="s">
        <v>698</v>
      </c>
      <c r="E137" s="1" t="s">
        <v>698</v>
      </c>
      <c r="F137" s="1" t="s">
        <v>698</v>
      </c>
      <c r="G137" s="1" t="s">
        <v>698</v>
      </c>
      <c r="H137" s="1" t="s">
        <v>698</v>
      </c>
      <c r="I137" s="1" t="s">
        <v>698</v>
      </c>
      <c r="J137" s="1">
        <f t="shared" si="12"/>
        <v>1</v>
      </c>
      <c r="L137" s="1" t="s">
        <v>722</v>
      </c>
      <c r="M137" s="7">
        <v>35</v>
      </c>
      <c r="N137" s="1" t="s">
        <v>752</v>
      </c>
      <c r="O137" s="3" t="s">
        <v>755</v>
      </c>
      <c r="P137" s="3" t="s">
        <v>135</v>
      </c>
      <c r="Q137" s="15">
        <v>35</v>
      </c>
      <c r="R137" s="43">
        <f>VLOOKUP('90'!O137,Malzemeler!C:D,2,0)</f>
        <v>0</v>
      </c>
      <c r="S137" s="43">
        <f t="shared" si="13"/>
        <v>0</v>
      </c>
    </row>
    <row r="138" spans="1:19" x14ac:dyDescent="0.35">
      <c r="A138" s="104" t="s">
        <v>719</v>
      </c>
      <c r="B138" s="1">
        <v>90</v>
      </c>
      <c r="C138" s="1" t="s">
        <v>698</v>
      </c>
      <c r="D138" s="1">
        <v>47</v>
      </c>
      <c r="E138" s="1">
        <v>5</v>
      </c>
      <c r="F138" s="1" t="s">
        <v>698</v>
      </c>
      <c r="G138" s="1" t="s">
        <v>698</v>
      </c>
      <c r="H138" s="1" t="s">
        <v>698</v>
      </c>
      <c r="I138" s="1" t="s">
        <v>698</v>
      </c>
      <c r="J138" s="1">
        <f t="shared" si="9"/>
        <v>1</v>
      </c>
      <c r="L138" s="1" t="s">
        <v>719</v>
      </c>
      <c r="M138" s="7">
        <v>1</v>
      </c>
      <c r="N138" s="1" t="s">
        <v>211</v>
      </c>
      <c r="O138" s="3" t="s">
        <v>212</v>
      </c>
      <c r="P138" s="3" t="s">
        <v>14</v>
      </c>
      <c r="Q138" s="3">
        <v>3</v>
      </c>
      <c r="R138" s="43">
        <f>VLOOKUP('90'!O138,Malzemeler!C:D,2,0)</f>
        <v>4.43</v>
      </c>
      <c r="S138" s="43">
        <f t="shared" si="10"/>
        <v>13.29</v>
      </c>
    </row>
    <row r="139" spans="1:19" x14ac:dyDescent="0.35">
      <c r="A139" s="104"/>
      <c r="B139" s="1">
        <v>90</v>
      </c>
      <c r="C139" s="1" t="s">
        <v>698</v>
      </c>
      <c r="D139" s="1">
        <v>47</v>
      </c>
      <c r="E139" s="1">
        <v>5</v>
      </c>
      <c r="F139" s="1" t="s">
        <v>698</v>
      </c>
      <c r="G139" s="1" t="s">
        <v>698</v>
      </c>
      <c r="H139" s="1" t="s">
        <v>698</v>
      </c>
      <c r="I139" s="1" t="s">
        <v>698</v>
      </c>
      <c r="J139" s="1">
        <f t="shared" si="9"/>
        <v>1</v>
      </c>
      <c r="L139" s="1" t="s">
        <v>719</v>
      </c>
      <c r="M139" s="7">
        <v>2</v>
      </c>
      <c r="N139" s="1" t="s">
        <v>213</v>
      </c>
      <c r="O139" s="3" t="s">
        <v>214</v>
      </c>
      <c r="P139" s="3" t="s">
        <v>14</v>
      </c>
      <c r="Q139" s="3">
        <v>4</v>
      </c>
      <c r="R139" s="43">
        <f>VLOOKUP('90'!O139,Malzemeler!C:D,2,0)</f>
        <v>3.04</v>
      </c>
      <c r="S139" s="43">
        <f t="shared" si="10"/>
        <v>12.16</v>
      </c>
    </row>
    <row r="140" spans="1:19" x14ac:dyDescent="0.35">
      <c r="A140" s="104"/>
      <c r="B140" s="1">
        <v>90</v>
      </c>
      <c r="C140" s="1" t="s">
        <v>698</v>
      </c>
      <c r="D140" s="1">
        <v>47</v>
      </c>
      <c r="E140" s="1">
        <v>5</v>
      </c>
      <c r="F140" s="1" t="s">
        <v>698</v>
      </c>
      <c r="G140" s="1" t="s">
        <v>698</v>
      </c>
      <c r="H140" s="1" t="s">
        <v>698</v>
      </c>
      <c r="I140" s="1" t="s">
        <v>698</v>
      </c>
      <c r="J140" s="1">
        <f t="shared" si="9"/>
        <v>1</v>
      </c>
      <c r="L140" s="1" t="s">
        <v>719</v>
      </c>
      <c r="M140" s="7">
        <v>3</v>
      </c>
      <c r="N140" s="1" t="s">
        <v>297</v>
      </c>
      <c r="O140" s="3" t="s">
        <v>298</v>
      </c>
      <c r="P140" s="3" t="s">
        <v>14</v>
      </c>
      <c r="Q140" s="3">
        <v>1</v>
      </c>
      <c r="R140" s="43">
        <f>VLOOKUP('90'!O140,Malzemeler!C:D,2,0)</f>
        <v>2</v>
      </c>
      <c r="S140" s="43">
        <f t="shared" si="10"/>
        <v>2</v>
      </c>
    </row>
    <row r="141" spans="1:19" x14ac:dyDescent="0.35">
      <c r="A141" s="104"/>
      <c r="B141" s="1">
        <v>90</v>
      </c>
      <c r="C141" s="1" t="s">
        <v>698</v>
      </c>
      <c r="D141" s="1">
        <v>47</v>
      </c>
      <c r="E141" s="1">
        <v>5</v>
      </c>
      <c r="F141" s="1" t="s">
        <v>698</v>
      </c>
      <c r="G141" s="1" t="s">
        <v>698</v>
      </c>
      <c r="H141" s="1" t="s">
        <v>698</v>
      </c>
      <c r="I141" s="1" t="s">
        <v>698</v>
      </c>
      <c r="J141" s="1">
        <f t="shared" si="9"/>
        <v>1</v>
      </c>
      <c r="L141" s="1" t="s">
        <v>719</v>
      </c>
      <c r="M141" s="7">
        <v>4</v>
      </c>
      <c r="N141" s="1" t="s">
        <v>459</v>
      </c>
      <c r="O141" s="3" t="s">
        <v>460</v>
      </c>
      <c r="P141" s="3" t="s">
        <v>14</v>
      </c>
      <c r="Q141" s="3">
        <v>3</v>
      </c>
      <c r="R141" s="43">
        <f>VLOOKUP('90'!O141,Malzemeler!C:D,2,0)</f>
        <v>4.55</v>
      </c>
      <c r="S141" s="43">
        <f t="shared" si="10"/>
        <v>13.649999999999999</v>
      </c>
    </row>
    <row r="142" spans="1:19" x14ac:dyDescent="0.35">
      <c r="A142" s="104"/>
      <c r="B142" s="1">
        <v>90</v>
      </c>
      <c r="C142" s="1" t="s">
        <v>698</v>
      </c>
      <c r="D142" s="1">
        <v>47</v>
      </c>
      <c r="E142" s="1">
        <v>5</v>
      </c>
      <c r="F142" s="1" t="s">
        <v>698</v>
      </c>
      <c r="G142" s="1" t="s">
        <v>698</v>
      </c>
      <c r="H142" s="1" t="s">
        <v>698</v>
      </c>
      <c r="I142" s="1" t="s">
        <v>698</v>
      </c>
      <c r="J142" s="1">
        <f t="shared" si="9"/>
        <v>1</v>
      </c>
      <c r="L142" s="1" t="s">
        <v>719</v>
      </c>
      <c r="M142" s="7">
        <v>5</v>
      </c>
      <c r="N142" s="1" t="s">
        <v>461</v>
      </c>
      <c r="O142" s="3" t="s">
        <v>462</v>
      </c>
      <c r="P142" s="3" t="s">
        <v>14</v>
      </c>
      <c r="Q142" s="3">
        <v>4</v>
      </c>
      <c r="R142" s="43">
        <f>VLOOKUP('90'!O142,Malzemeler!C:D,2,0)</f>
        <v>2.96</v>
      </c>
      <c r="S142" s="43">
        <f t="shared" si="10"/>
        <v>11.84</v>
      </c>
    </row>
    <row r="143" spans="1:19" x14ac:dyDescent="0.35">
      <c r="A143" s="104"/>
      <c r="B143" s="1">
        <v>90</v>
      </c>
      <c r="C143" s="1" t="s">
        <v>698</v>
      </c>
      <c r="D143" s="1">
        <v>47</v>
      </c>
      <c r="E143" s="1">
        <v>5</v>
      </c>
      <c r="F143" s="1" t="s">
        <v>698</v>
      </c>
      <c r="G143" s="1" t="s">
        <v>698</v>
      </c>
      <c r="H143" s="1" t="s">
        <v>698</v>
      </c>
      <c r="I143" s="1" t="s">
        <v>698</v>
      </c>
      <c r="J143" s="1">
        <f t="shared" si="9"/>
        <v>1</v>
      </c>
      <c r="L143" s="1" t="s">
        <v>719</v>
      </c>
      <c r="M143" s="7">
        <v>6</v>
      </c>
      <c r="N143" s="1" t="s">
        <v>467</v>
      </c>
      <c r="O143" s="3" t="s">
        <v>468</v>
      </c>
      <c r="P143" s="3" t="s">
        <v>14</v>
      </c>
      <c r="Q143" s="3">
        <v>1</v>
      </c>
      <c r="R143" s="43">
        <f>VLOOKUP('90'!O143,Malzemeler!C:D,2,0)</f>
        <v>2</v>
      </c>
      <c r="S143" s="43">
        <f t="shared" si="10"/>
        <v>2</v>
      </c>
    </row>
    <row r="144" spans="1:19" x14ac:dyDescent="0.35">
      <c r="A144" s="104"/>
      <c r="B144" s="1">
        <v>90</v>
      </c>
      <c r="C144" s="1" t="s">
        <v>698</v>
      </c>
      <c r="D144" s="1">
        <v>47</v>
      </c>
      <c r="E144" s="1">
        <v>5</v>
      </c>
      <c r="F144" s="1" t="s">
        <v>698</v>
      </c>
      <c r="G144" s="1" t="s">
        <v>698</v>
      </c>
      <c r="H144" s="1" t="s">
        <v>698</v>
      </c>
      <c r="I144" s="1" t="s">
        <v>698</v>
      </c>
      <c r="J144" s="1">
        <f t="shared" si="9"/>
        <v>1</v>
      </c>
      <c r="L144" s="1" t="s">
        <v>719</v>
      </c>
      <c r="M144" s="7">
        <v>7</v>
      </c>
      <c r="N144" s="1" t="s">
        <v>463</v>
      </c>
      <c r="O144" s="3" t="s">
        <v>464</v>
      </c>
      <c r="P144" s="3" t="s">
        <v>14</v>
      </c>
      <c r="Q144" s="3">
        <v>3</v>
      </c>
      <c r="R144" s="43">
        <f>VLOOKUP('90'!O144,Malzemeler!C:D,2,0)</f>
        <v>7.15</v>
      </c>
      <c r="S144" s="43">
        <f t="shared" si="10"/>
        <v>21.450000000000003</v>
      </c>
    </row>
    <row r="145" spans="1:19" x14ac:dyDescent="0.35">
      <c r="A145" s="104"/>
      <c r="B145" s="1">
        <v>90</v>
      </c>
      <c r="C145" s="1" t="s">
        <v>698</v>
      </c>
      <c r="D145" s="1">
        <v>47</v>
      </c>
      <c r="E145" s="1">
        <v>5</v>
      </c>
      <c r="F145" s="1" t="s">
        <v>698</v>
      </c>
      <c r="G145" s="1" t="s">
        <v>698</v>
      </c>
      <c r="H145" s="1" t="s">
        <v>698</v>
      </c>
      <c r="I145" s="1" t="s">
        <v>698</v>
      </c>
      <c r="J145" s="1">
        <f t="shared" si="9"/>
        <v>1</v>
      </c>
      <c r="L145" s="1" t="s">
        <v>719</v>
      </c>
      <c r="M145" s="7">
        <v>8</v>
      </c>
      <c r="N145" s="1" t="s">
        <v>465</v>
      </c>
      <c r="O145" s="3" t="s">
        <v>466</v>
      </c>
      <c r="P145" s="3" t="s">
        <v>14</v>
      </c>
      <c r="Q145" s="3">
        <v>4</v>
      </c>
      <c r="R145" s="43">
        <f>VLOOKUP('90'!O145,Malzemeler!C:D,2,0)</f>
        <v>4.37</v>
      </c>
      <c r="S145" s="43">
        <f t="shared" si="10"/>
        <v>17.48</v>
      </c>
    </row>
    <row r="146" spans="1:19" x14ac:dyDescent="0.35">
      <c r="A146" s="104"/>
      <c r="B146" s="1">
        <v>90</v>
      </c>
      <c r="C146" s="1" t="s">
        <v>698</v>
      </c>
      <c r="D146" s="1">
        <v>47</v>
      </c>
      <c r="E146" s="1">
        <v>5</v>
      </c>
      <c r="F146" s="1" t="s">
        <v>698</v>
      </c>
      <c r="G146" s="1" t="s">
        <v>698</v>
      </c>
      <c r="H146" s="1" t="s">
        <v>698</v>
      </c>
      <c r="I146" s="1" t="s">
        <v>698</v>
      </c>
      <c r="J146" s="1">
        <f t="shared" si="9"/>
        <v>1</v>
      </c>
      <c r="L146" s="1" t="s">
        <v>719</v>
      </c>
      <c r="M146" s="7">
        <v>9</v>
      </c>
      <c r="N146" s="1" t="s">
        <v>295</v>
      </c>
      <c r="O146" s="3" t="s">
        <v>296</v>
      </c>
      <c r="P146" s="3" t="s">
        <v>14</v>
      </c>
      <c r="Q146" s="3">
        <v>1</v>
      </c>
      <c r="R146" s="43">
        <f>VLOOKUP('90'!O146,Malzemeler!C:D,2,0)</f>
        <v>3.3</v>
      </c>
      <c r="S146" s="43">
        <f t="shared" si="10"/>
        <v>3.3</v>
      </c>
    </row>
    <row r="147" spans="1:19" x14ac:dyDescent="0.35">
      <c r="A147" s="104"/>
      <c r="B147" s="1">
        <v>90</v>
      </c>
      <c r="C147" s="1" t="s">
        <v>698</v>
      </c>
      <c r="D147" s="1">
        <v>5</v>
      </c>
      <c r="E147" s="1">
        <v>5</v>
      </c>
      <c r="F147" s="1" t="s">
        <v>698</v>
      </c>
      <c r="G147" s="1" t="s">
        <v>698</v>
      </c>
      <c r="H147" s="1" t="s">
        <v>698</v>
      </c>
      <c r="I147" s="1" t="s">
        <v>698</v>
      </c>
      <c r="J147" s="1">
        <f>SUBTOTAL(103,B147)</f>
        <v>1</v>
      </c>
      <c r="L147" s="1" t="s">
        <v>719</v>
      </c>
      <c r="M147" s="7">
        <v>1</v>
      </c>
      <c r="N147" s="5" t="s">
        <v>211</v>
      </c>
      <c r="O147" s="3" t="s">
        <v>212</v>
      </c>
      <c r="P147" s="3" t="s">
        <v>14</v>
      </c>
      <c r="Q147" s="3">
        <v>6</v>
      </c>
      <c r="R147" s="43">
        <f>VLOOKUP('90'!O147,Malzemeler!C:D,2,0)</f>
        <v>4.43</v>
      </c>
      <c r="S147" s="43">
        <f t="shared" si="10"/>
        <v>26.58</v>
      </c>
    </row>
    <row r="148" spans="1:19" x14ac:dyDescent="0.35">
      <c r="A148" s="104"/>
      <c r="B148" s="1">
        <v>90</v>
      </c>
      <c r="C148" s="1" t="s">
        <v>698</v>
      </c>
      <c r="D148" s="1">
        <v>5</v>
      </c>
      <c r="E148" s="1">
        <v>5</v>
      </c>
      <c r="F148" s="1" t="s">
        <v>698</v>
      </c>
      <c r="G148" s="1" t="s">
        <v>698</v>
      </c>
      <c r="H148" s="1" t="s">
        <v>698</v>
      </c>
      <c r="I148" s="1" t="s">
        <v>698</v>
      </c>
      <c r="J148" s="1">
        <v>1</v>
      </c>
      <c r="L148" s="1" t="s">
        <v>719</v>
      </c>
      <c r="M148" s="7">
        <v>2</v>
      </c>
      <c r="N148" s="5" t="s">
        <v>213</v>
      </c>
      <c r="O148" s="3" t="s">
        <v>214</v>
      </c>
      <c r="P148" s="3" t="s">
        <v>14</v>
      </c>
      <c r="Q148" s="3">
        <v>8</v>
      </c>
      <c r="R148" s="43">
        <f>VLOOKUP('90'!O148,Malzemeler!C:D,2,0)</f>
        <v>3.04</v>
      </c>
      <c r="S148" s="43">
        <f t="shared" si="10"/>
        <v>24.32</v>
      </c>
    </row>
    <row r="149" spans="1:19" x14ac:dyDescent="0.35">
      <c r="A149" s="104"/>
      <c r="B149" s="1">
        <v>90</v>
      </c>
      <c r="C149" s="1" t="s">
        <v>698</v>
      </c>
      <c r="D149" s="1">
        <v>5</v>
      </c>
      <c r="E149" s="1">
        <v>5</v>
      </c>
      <c r="F149" s="1" t="s">
        <v>698</v>
      </c>
      <c r="G149" s="1" t="s">
        <v>698</v>
      </c>
      <c r="H149" s="1" t="s">
        <v>698</v>
      </c>
      <c r="I149" s="1" t="s">
        <v>698</v>
      </c>
      <c r="J149" s="1">
        <v>1</v>
      </c>
      <c r="L149" s="1" t="s">
        <v>719</v>
      </c>
      <c r="M149" s="7">
        <v>3</v>
      </c>
      <c r="N149" s="5" t="s">
        <v>297</v>
      </c>
      <c r="O149" s="3" t="s">
        <v>298</v>
      </c>
      <c r="P149" s="3" t="s">
        <v>14</v>
      </c>
      <c r="Q149" s="3">
        <v>2</v>
      </c>
      <c r="R149" s="43">
        <f>VLOOKUP('90'!O149,Malzemeler!C:D,2,0)</f>
        <v>2</v>
      </c>
      <c r="S149" s="43">
        <f t="shared" si="10"/>
        <v>4</v>
      </c>
    </row>
    <row r="150" spans="1:19" x14ac:dyDescent="0.35">
      <c r="A150" s="104"/>
      <c r="B150" s="1">
        <v>90</v>
      </c>
      <c r="C150" s="1" t="s">
        <v>698</v>
      </c>
      <c r="D150" s="1">
        <v>49</v>
      </c>
      <c r="E150" s="1">
        <v>5</v>
      </c>
      <c r="F150" s="1" t="s">
        <v>698</v>
      </c>
      <c r="G150" s="1" t="s">
        <v>698</v>
      </c>
      <c r="H150" s="1" t="s">
        <v>698</v>
      </c>
      <c r="I150" s="1" t="s">
        <v>698</v>
      </c>
      <c r="J150" s="1">
        <f>SUBTOTAL(103,B150)</f>
        <v>1</v>
      </c>
      <c r="L150" s="1" t="s">
        <v>719</v>
      </c>
      <c r="M150" s="7">
        <v>1</v>
      </c>
      <c r="N150" s="1" t="s">
        <v>211</v>
      </c>
      <c r="O150" s="3" t="s">
        <v>212</v>
      </c>
      <c r="P150" s="3" t="s">
        <v>14</v>
      </c>
      <c r="Q150" s="3">
        <v>3</v>
      </c>
      <c r="R150" s="43">
        <f>VLOOKUP('90'!O150,Malzemeler!C:D,2,0)</f>
        <v>4.43</v>
      </c>
      <c r="S150" s="43">
        <f t="shared" si="10"/>
        <v>13.29</v>
      </c>
    </row>
    <row r="151" spans="1:19" x14ac:dyDescent="0.35">
      <c r="A151" s="104"/>
      <c r="B151" s="1">
        <v>90</v>
      </c>
      <c r="C151" s="1" t="s">
        <v>698</v>
      </c>
      <c r="D151" s="1">
        <v>49</v>
      </c>
      <c r="E151" s="1">
        <v>5</v>
      </c>
      <c r="F151" s="1" t="s">
        <v>698</v>
      </c>
      <c r="G151" s="1" t="s">
        <v>698</v>
      </c>
      <c r="H151" s="1" t="s">
        <v>698</v>
      </c>
      <c r="I151" s="1" t="s">
        <v>698</v>
      </c>
      <c r="J151" s="1">
        <f>SUBTOTAL(103,B151)</f>
        <v>1</v>
      </c>
      <c r="L151" s="1" t="s">
        <v>719</v>
      </c>
      <c r="M151" s="7">
        <v>2</v>
      </c>
      <c r="N151" s="1" t="s">
        <v>213</v>
      </c>
      <c r="O151" s="3" t="s">
        <v>214</v>
      </c>
      <c r="P151" s="3" t="s">
        <v>14</v>
      </c>
      <c r="Q151" s="3">
        <v>4</v>
      </c>
      <c r="R151" s="43">
        <f>VLOOKUP('90'!O151,Malzemeler!C:D,2,0)</f>
        <v>3.04</v>
      </c>
      <c r="S151" s="43">
        <f t="shared" si="10"/>
        <v>12.16</v>
      </c>
    </row>
    <row r="152" spans="1:19" x14ac:dyDescent="0.35">
      <c r="A152" s="104"/>
      <c r="B152" s="1">
        <v>90</v>
      </c>
      <c r="C152" s="1" t="s">
        <v>698</v>
      </c>
      <c r="D152" s="1">
        <v>49</v>
      </c>
      <c r="E152" s="1">
        <v>5</v>
      </c>
      <c r="F152" s="1" t="s">
        <v>698</v>
      </c>
      <c r="G152" s="1" t="s">
        <v>698</v>
      </c>
      <c r="H152" s="1" t="s">
        <v>698</v>
      </c>
      <c r="I152" s="1" t="s">
        <v>698</v>
      </c>
      <c r="J152" s="1">
        <f>SUBTOTAL(103,B152)</f>
        <v>1</v>
      </c>
      <c r="L152" s="1" t="s">
        <v>719</v>
      </c>
      <c r="M152" s="7">
        <v>3</v>
      </c>
      <c r="N152" s="1" t="s">
        <v>297</v>
      </c>
      <c r="O152" s="3" t="s">
        <v>298</v>
      </c>
      <c r="P152" s="3" t="s">
        <v>14</v>
      </c>
      <c r="Q152" s="3">
        <v>1</v>
      </c>
      <c r="R152" s="43">
        <f>VLOOKUP('90'!O152,Malzemeler!C:D,2,0)</f>
        <v>2</v>
      </c>
      <c r="S152" s="43">
        <f t="shared" si="10"/>
        <v>2</v>
      </c>
    </row>
    <row r="153" spans="1:19" x14ac:dyDescent="0.35">
      <c r="A153" s="104"/>
      <c r="B153" s="1">
        <v>90</v>
      </c>
      <c r="C153" s="1" t="s">
        <v>698</v>
      </c>
      <c r="D153" s="1">
        <v>49</v>
      </c>
      <c r="E153" s="1">
        <v>5</v>
      </c>
      <c r="F153" s="1" t="s">
        <v>698</v>
      </c>
      <c r="G153" s="1" t="s">
        <v>698</v>
      </c>
      <c r="H153" s="1" t="s">
        <v>698</v>
      </c>
      <c r="I153" s="1" t="s">
        <v>698</v>
      </c>
      <c r="J153" s="1">
        <f t="shared" ref="J153:J158" si="14">SUBTOTAL(103,B153)</f>
        <v>1</v>
      </c>
      <c r="L153" s="1" t="s">
        <v>719</v>
      </c>
      <c r="M153" s="7">
        <v>4</v>
      </c>
      <c r="N153" s="1" t="s">
        <v>459</v>
      </c>
      <c r="O153" s="3" t="s">
        <v>460</v>
      </c>
      <c r="P153" s="3" t="s">
        <v>14</v>
      </c>
      <c r="Q153" s="3">
        <v>3</v>
      </c>
      <c r="R153" s="43">
        <f>VLOOKUP('90'!O153,Malzemeler!C:D,2,0)</f>
        <v>4.55</v>
      </c>
      <c r="S153" s="43">
        <f t="shared" si="10"/>
        <v>13.649999999999999</v>
      </c>
    </row>
    <row r="154" spans="1:19" x14ac:dyDescent="0.35">
      <c r="A154" s="104"/>
      <c r="B154" s="1">
        <v>90</v>
      </c>
      <c r="C154" s="1" t="s">
        <v>698</v>
      </c>
      <c r="D154" s="1">
        <v>49</v>
      </c>
      <c r="E154" s="1">
        <v>5</v>
      </c>
      <c r="F154" s="1" t="s">
        <v>698</v>
      </c>
      <c r="G154" s="1" t="s">
        <v>698</v>
      </c>
      <c r="H154" s="1" t="s">
        <v>698</v>
      </c>
      <c r="I154" s="1" t="s">
        <v>698</v>
      </c>
      <c r="J154" s="1">
        <f t="shared" si="14"/>
        <v>1</v>
      </c>
      <c r="L154" s="1" t="s">
        <v>719</v>
      </c>
      <c r="M154" s="7">
        <v>5</v>
      </c>
      <c r="N154" s="1" t="s">
        <v>461</v>
      </c>
      <c r="O154" s="3" t="s">
        <v>462</v>
      </c>
      <c r="P154" s="3" t="s">
        <v>14</v>
      </c>
      <c r="Q154" s="3">
        <v>4</v>
      </c>
      <c r="R154" s="43">
        <f>VLOOKUP('90'!O154,Malzemeler!C:D,2,0)</f>
        <v>2.96</v>
      </c>
      <c r="S154" s="43">
        <f t="shared" si="10"/>
        <v>11.84</v>
      </c>
    </row>
    <row r="155" spans="1:19" x14ac:dyDescent="0.35">
      <c r="A155" s="104"/>
      <c r="B155" s="1">
        <v>90</v>
      </c>
      <c r="C155" s="1" t="s">
        <v>698</v>
      </c>
      <c r="D155" s="1">
        <v>49</v>
      </c>
      <c r="E155" s="1">
        <v>5</v>
      </c>
      <c r="F155" s="1" t="s">
        <v>698</v>
      </c>
      <c r="G155" s="1" t="s">
        <v>698</v>
      </c>
      <c r="H155" s="1" t="s">
        <v>698</v>
      </c>
      <c r="I155" s="1" t="s">
        <v>698</v>
      </c>
      <c r="J155" s="1">
        <f t="shared" si="14"/>
        <v>1</v>
      </c>
      <c r="L155" s="1" t="s">
        <v>719</v>
      </c>
      <c r="M155" s="7">
        <v>6</v>
      </c>
      <c r="N155" s="1" t="s">
        <v>467</v>
      </c>
      <c r="O155" s="3" t="s">
        <v>468</v>
      </c>
      <c r="P155" s="3" t="s">
        <v>14</v>
      </c>
      <c r="Q155" s="3">
        <v>1</v>
      </c>
      <c r="R155" s="43">
        <f>VLOOKUP('90'!O155,Malzemeler!C:D,2,0)</f>
        <v>2</v>
      </c>
      <c r="S155" s="43">
        <f t="shared" si="10"/>
        <v>2</v>
      </c>
    </row>
    <row r="156" spans="1:19" x14ac:dyDescent="0.35">
      <c r="A156" s="104"/>
      <c r="B156" s="1">
        <v>90</v>
      </c>
      <c r="C156" s="1" t="s">
        <v>698</v>
      </c>
      <c r="D156" s="1">
        <v>49</v>
      </c>
      <c r="E156" s="1">
        <v>5</v>
      </c>
      <c r="F156" s="1" t="s">
        <v>698</v>
      </c>
      <c r="G156" s="1" t="s">
        <v>698</v>
      </c>
      <c r="H156" s="1" t="s">
        <v>698</v>
      </c>
      <c r="I156" s="1" t="s">
        <v>698</v>
      </c>
      <c r="J156" s="1">
        <f t="shared" si="14"/>
        <v>1</v>
      </c>
      <c r="L156" s="1" t="s">
        <v>719</v>
      </c>
      <c r="M156" s="7">
        <v>7</v>
      </c>
      <c r="N156" s="5" t="s">
        <v>575</v>
      </c>
      <c r="O156" s="3" t="s">
        <v>577</v>
      </c>
      <c r="P156" s="3" t="s">
        <v>14</v>
      </c>
      <c r="Q156" s="3">
        <v>3</v>
      </c>
      <c r="R156" s="43">
        <f>VLOOKUP('90'!O156,Malzemeler!C:D,2,0)</f>
        <v>6.91</v>
      </c>
      <c r="S156" s="43">
        <f t="shared" si="10"/>
        <v>20.73</v>
      </c>
    </row>
    <row r="157" spans="1:19" x14ac:dyDescent="0.35">
      <c r="A157" s="104"/>
      <c r="B157" s="1">
        <v>90</v>
      </c>
      <c r="C157" s="1" t="s">
        <v>698</v>
      </c>
      <c r="D157" s="1">
        <v>49</v>
      </c>
      <c r="E157" s="1">
        <v>5</v>
      </c>
      <c r="F157" s="1" t="s">
        <v>698</v>
      </c>
      <c r="G157" s="1" t="s">
        <v>698</v>
      </c>
      <c r="H157" s="1" t="s">
        <v>698</v>
      </c>
      <c r="I157" s="1" t="s">
        <v>698</v>
      </c>
      <c r="J157" s="1">
        <f t="shared" si="14"/>
        <v>1</v>
      </c>
      <c r="L157" s="1" t="s">
        <v>719</v>
      </c>
      <c r="M157" s="7">
        <v>8</v>
      </c>
      <c r="N157" s="5" t="s">
        <v>576</v>
      </c>
      <c r="O157" s="3" t="s">
        <v>578</v>
      </c>
      <c r="P157" s="3" t="s">
        <v>14</v>
      </c>
      <c r="Q157" s="3">
        <v>4</v>
      </c>
      <c r="R157" s="43">
        <f>VLOOKUP('90'!O157,Malzemeler!C:D,2,0)</f>
        <v>4.47</v>
      </c>
      <c r="S157" s="43">
        <f t="shared" si="10"/>
        <v>17.88</v>
      </c>
    </row>
    <row r="158" spans="1:19" x14ac:dyDescent="0.35">
      <c r="A158" s="104"/>
      <c r="B158" s="1">
        <v>90</v>
      </c>
      <c r="C158" s="1" t="s">
        <v>698</v>
      </c>
      <c r="D158" s="1">
        <v>49</v>
      </c>
      <c r="E158" s="1">
        <v>5</v>
      </c>
      <c r="F158" s="1" t="s">
        <v>698</v>
      </c>
      <c r="G158" s="1" t="s">
        <v>698</v>
      </c>
      <c r="H158" s="1" t="s">
        <v>698</v>
      </c>
      <c r="I158" s="1" t="s">
        <v>698</v>
      </c>
      <c r="J158" s="1">
        <f t="shared" si="14"/>
        <v>1</v>
      </c>
      <c r="L158" s="1" t="s">
        <v>719</v>
      </c>
      <c r="M158" s="7">
        <v>9</v>
      </c>
      <c r="N158" s="5" t="s">
        <v>579</v>
      </c>
      <c r="O158" s="3" t="s">
        <v>580</v>
      </c>
      <c r="P158" s="3" t="s">
        <v>14</v>
      </c>
      <c r="Q158" s="3">
        <v>1</v>
      </c>
      <c r="R158" s="43">
        <f>VLOOKUP('90'!O158,Malzemeler!C:D,2,0)</f>
        <v>4</v>
      </c>
      <c r="S158" s="43">
        <f t="shared" si="10"/>
        <v>4</v>
      </c>
    </row>
    <row r="159" spans="1:19" ht="15" customHeight="1" x14ac:dyDescent="0.35">
      <c r="A159" s="104" t="s">
        <v>478</v>
      </c>
      <c r="B159" s="1">
        <v>90</v>
      </c>
      <c r="C159" s="1" t="s">
        <v>572</v>
      </c>
      <c r="D159" s="1" t="s">
        <v>698</v>
      </c>
      <c r="E159" s="1" t="s">
        <v>698</v>
      </c>
      <c r="F159" s="1" t="s">
        <v>602</v>
      </c>
      <c r="G159" s="1" t="s">
        <v>698</v>
      </c>
      <c r="H159" s="1" t="s">
        <v>698</v>
      </c>
      <c r="I159" s="1" t="s">
        <v>698</v>
      </c>
      <c r="J159" s="1">
        <f t="shared" si="9"/>
        <v>1</v>
      </c>
      <c r="L159" s="1" t="s">
        <v>724</v>
      </c>
      <c r="M159" s="18">
        <v>1</v>
      </c>
      <c r="N159" s="1" t="s">
        <v>567</v>
      </c>
      <c r="O159" s="3" t="s">
        <v>192</v>
      </c>
      <c r="P159" s="3" t="s">
        <v>14</v>
      </c>
      <c r="Q159" s="3">
        <v>1</v>
      </c>
      <c r="R159" s="43">
        <f>VLOOKUP('90'!O159,Malzemeler!C:D,2,0)</f>
        <v>410</v>
      </c>
      <c r="S159" s="43">
        <f t="shared" si="10"/>
        <v>410</v>
      </c>
    </row>
    <row r="160" spans="1:19" ht="15" customHeight="1" x14ac:dyDescent="0.35">
      <c r="A160" s="104"/>
      <c r="B160" s="1">
        <v>90</v>
      </c>
      <c r="C160" s="28" t="s">
        <v>573</v>
      </c>
      <c r="D160" s="28" t="s">
        <v>698</v>
      </c>
      <c r="E160" s="28" t="s">
        <v>698</v>
      </c>
      <c r="F160" s="28" t="s">
        <v>602</v>
      </c>
      <c r="G160" s="28" t="s">
        <v>698</v>
      </c>
      <c r="H160" s="28" t="s">
        <v>698</v>
      </c>
      <c r="I160" s="28" t="s">
        <v>698</v>
      </c>
      <c r="J160" s="28">
        <f>SUBTOTAL(103,B160)</f>
        <v>1</v>
      </c>
      <c r="L160" s="1" t="s">
        <v>725</v>
      </c>
      <c r="M160" s="27">
        <v>1</v>
      </c>
      <c r="N160" s="28" t="s">
        <v>567</v>
      </c>
      <c r="O160" s="29" t="str">
        <f>VLOOKUP(N160,Malzemeler!B:C,2,)</f>
        <v>-</v>
      </c>
      <c r="P160" s="29" t="s">
        <v>14</v>
      </c>
      <c r="Q160" s="29">
        <v>1</v>
      </c>
      <c r="R160" s="43">
        <f>VLOOKUP('90'!O160,Malzemeler!C:D,2,0)</f>
        <v>410</v>
      </c>
      <c r="S160" s="43">
        <f>+R160*Q160</f>
        <v>410</v>
      </c>
    </row>
    <row r="161" spans="1:19" x14ac:dyDescent="0.35">
      <c r="A161" s="104"/>
      <c r="B161" s="1">
        <v>90</v>
      </c>
      <c r="C161" s="1" t="s">
        <v>698</v>
      </c>
      <c r="D161" s="1" t="s">
        <v>698</v>
      </c>
      <c r="E161" s="1" t="s">
        <v>698</v>
      </c>
      <c r="F161" s="1" t="s">
        <v>602</v>
      </c>
      <c r="G161" s="1" t="s">
        <v>698</v>
      </c>
      <c r="H161" s="1" t="s">
        <v>698</v>
      </c>
      <c r="I161" s="1" t="s">
        <v>698</v>
      </c>
      <c r="J161" s="1">
        <f t="shared" si="9"/>
        <v>1</v>
      </c>
      <c r="L161" s="1" t="s">
        <v>478</v>
      </c>
      <c r="M161" s="18">
        <v>2</v>
      </c>
      <c r="N161" s="1" t="s">
        <v>490</v>
      </c>
      <c r="O161" s="3" t="s">
        <v>491</v>
      </c>
      <c r="P161" s="3" t="s">
        <v>14</v>
      </c>
      <c r="Q161" s="3">
        <v>1</v>
      </c>
      <c r="R161" s="43">
        <f>VLOOKUP('90'!O161,Malzemeler!C:D,2,0)</f>
        <v>247.16999999999996</v>
      </c>
      <c r="S161" s="43">
        <f t="shared" si="10"/>
        <v>247.16999999999996</v>
      </c>
    </row>
    <row r="162" spans="1:19" x14ac:dyDescent="0.35">
      <c r="A162" s="104"/>
      <c r="B162" s="1">
        <v>90</v>
      </c>
      <c r="C162" s="1" t="s">
        <v>698</v>
      </c>
      <c r="D162" s="1" t="s">
        <v>698</v>
      </c>
      <c r="E162" s="1" t="s">
        <v>698</v>
      </c>
      <c r="F162" s="1" t="s">
        <v>602</v>
      </c>
      <c r="G162" s="1" t="s">
        <v>698</v>
      </c>
      <c r="H162" s="1" t="s">
        <v>698</v>
      </c>
      <c r="I162" s="1" t="s">
        <v>698</v>
      </c>
      <c r="J162" s="1">
        <f t="shared" si="9"/>
        <v>1</v>
      </c>
      <c r="L162" s="1" t="s">
        <v>478</v>
      </c>
      <c r="M162" s="18">
        <v>3</v>
      </c>
      <c r="N162" s="5" t="s">
        <v>486</v>
      </c>
      <c r="O162" s="3" t="s">
        <v>487</v>
      </c>
      <c r="P162" s="3" t="s">
        <v>14</v>
      </c>
      <c r="Q162" s="3">
        <v>1</v>
      </c>
      <c r="R162" s="43">
        <f>VLOOKUP('90'!O162,Malzemeler!C:D,2,0)</f>
        <v>113.85</v>
      </c>
      <c r="S162" s="43">
        <f t="shared" si="10"/>
        <v>113.85</v>
      </c>
    </row>
    <row r="163" spans="1:19" x14ac:dyDescent="0.35">
      <c r="A163" s="104"/>
      <c r="B163" s="1">
        <v>90</v>
      </c>
      <c r="C163" s="1" t="s">
        <v>698</v>
      </c>
      <c r="D163" s="1" t="s">
        <v>698</v>
      </c>
      <c r="E163" s="1" t="s">
        <v>698</v>
      </c>
      <c r="F163" s="1" t="s">
        <v>602</v>
      </c>
      <c r="G163" s="1" t="s">
        <v>698</v>
      </c>
      <c r="H163" s="1" t="s">
        <v>698</v>
      </c>
      <c r="I163" s="1" t="s">
        <v>698</v>
      </c>
      <c r="J163" s="1">
        <f t="shared" si="9"/>
        <v>1</v>
      </c>
      <c r="L163" s="1" t="s">
        <v>478</v>
      </c>
      <c r="M163" s="18">
        <v>4</v>
      </c>
      <c r="N163" s="1" t="s">
        <v>90</v>
      </c>
      <c r="O163" s="3" t="s">
        <v>91</v>
      </c>
      <c r="P163" s="3" t="s">
        <v>135</v>
      </c>
      <c r="Q163" s="10">
        <v>7.990000000000002</v>
      </c>
      <c r="R163" s="43">
        <f>VLOOKUP('90'!O163,Malzemeler!C:D,2,0)</f>
        <v>1.27</v>
      </c>
      <c r="S163" s="43">
        <f t="shared" si="10"/>
        <v>10.147300000000003</v>
      </c>
    </row>
    <row r="164" spans="1:19" x14ac:dyDescent="0.35">
      <c r="A164" s="104"/>
      <c r="B164" s="1">
        <v>90</v>
      </c>
      <c r="C164" s="1" t="s">
        <v>698</v>
      </c>
      <c r="D164" s="1" t="s">
        <v>698</v>
      </c>
      <c r="E164" s="1" t="s">
        <v>698</v>
      </c>
      <c r="F164" s="1" t="s">
        <v>602</v>
      </c>
      <c r="G164" s="1" t="s">
        <v>698</v>
      </c>
      <c r="H164" s="1" t="s">
        <v>698</v>
      </c>
      <c r="I164" s="1" t="s">
        <v>698</v>
      </c>
      <c r="J164" s="1">
        <f t="shared" si="9"/>
        <v>1</v>
      </c>
      <c r="L164" s="1" t="s">
        <v>478</v>
      </c>
      <c r="M164" s="18">
        <v>5</v>
      </c>
      <c r="N164" s="1" t="s">
        <v>92</v>
      </c>
      <c r="O164" s="3" t="s">
        <v>93</v>
      </c>
      <c r="P164" s="3" t="s">
        <v>135</v>
      </c>
      <c r="Q164" s="10">
        <v>3.2129999999999992</v>
      </c>
      <c r="R164" s="43">
        <f>VLOOKUP('90'!O164,Malzemeler!C:D,2,0)</f>
        <v>1.74</v>
      </c>
      <c r="S164" s="43">
        <f t="shared" si="10"/>
        <v>5.5906199999999986</v>
      </c>
    </row>
    <row r="165" spans="1:19" x14ac:dyDescent="0.35">
      <c r="A165" s="104"/>
      <c r="B165" s="1">
        <v>90</v>
      </c>
      <c r="C165" s="1" t="s">
        <v>698</v>
      </c>
      <c r="D165" s="1" t="s">
        <v>698</v>
      </c>
      <c r="E165" s="1" t="s">
        <v>698</v>
      </c>
      <c r="F165" s="1" t="s">
        <v>602</v>
      </c>
      <c r="G165" s="1" t="s">
        <v>698</v>
      </c>
      <c r="H165" s="1" t="s">
        <v>698</v>
      </c>
      <c r="I165" s="1" t="s">
        <v>698</v>
      </c>
      <c r="J165" s="1">
        <f t="shared" si="9"/>
        <v>1</v>
      </c>
      <c r="L165" s="1" t="s">
        <v>478</v>
      </c>
      <c r="M165" s="18">
        <v>6</v>
      </c>
      <c r="N165" s="1" t="s">
        <v>94</v>
      </c>
      <c r="O165" s="3" t="s">
        <v>95</v>
      </c>
      <c r="P165" s="3" t="s">
        <v>135</v>
      </c>
      <c r="Q165" s="10">
        <v>11.089000000000013</v>
      </c>
      <c r="R165" s="43">
        <f>VLOOKUP('90'!O165,Malzemeler!C:D,2,0)</f>
        <v>1.95</v>
      </c>
      <c r="S165" s="43">
        <f t="shared" si="10"/>
        <v>21.623550000000023</v>
      </c>
    </row>
    <row r="166" spans="1:19" x14ac:dyDescent="0.35">
      <c r="A166" s="104"/>
      <c r="B166" s="1">
        <v>90</v>
      </c>
      <c r="C166" s="1" t="s">
        <v>698</v>
      </c>
      <c r="D166" s="1" t="s">
        <v>698</v>
      </c>
      <c r="E166" s="1" t="s">
        <v>698</v>
      </c>
      <c r="F166" s="1" t="s">
        <v>602</v>
      </c>
      <c r="G166" s="1" t="s">
        <v>698</v>
      </c>
      <c r="H166" s="1" t="s">
        <v>698</v>
      </c>
      <c r="I166" s="1" t="s">
        <v>698</v>
      </c>
      <c r="J166" s="1">
        <f t="shared" si="9"/>
        <v>1</v>
      </c>
      <c r="L166" s="1" t="s">
        <v>478</v>
      </c>
      <c r="M166" s="18">
        <v>7</v>
      </c>
      <c r="N166" s="1" t="s">
        <v>98</v>
      </c>
      <c r="O166" s="3" t="s">
        <v>99</v>
      </c>
      <c r="P166" s="3" t="s">
        <v>133</v>
      </c>
      <c r="Q166" s="10">
        <v>1.2119999999999962</v>
      </c>
      <c r="R166" s="43">
        <f>VLOOKUP('90'!O166,Malzemeler!C:D,2,0)</f>
        <v>0.87</v>
      </c>
      <c r="S166" s="43">
        <f t="shared" si="10"/>
        <v>1.0544399999999967</v>
      </c>
    </row>
    <row r="167" spans="1:19" x14ac:dyDescent="0.35">
      <c r="A167" s="104"/>
      <c r="B167" s="1">
        <v>90</v>
      </c>
      <c r="C167" s="1" t="s">
        <v>698</v>
      </c>
      <c r="D167" s="1" t="s">
        <v>698</v>
      </c>
      <c r="E167" s="1" t="s">
        <v>698</v>
      </c>
      <c r="F167" s="1" t="s">
        <v>602</v>
      </c>
      <c r="G167" s="1" t="s">
        <v>698</v>
      </c>
      <c r="H167" s="1" t="s">
        <v>698</v>
      </c>
      <c r="I167" s="1" t="s">
        <v>698</v>
      </c>
      <c r="J167" s="1">
        <f t="shared" si="9"/>
        <v>1</v>
      </c>
      <c r="L167" s="1" t="s">
        <v>478</v>
      </c>
      <c r="M167" s="18">
        <v>8</v>
      </c>
      <c r="N167" s="1" t="s">
        <v>102</v>
      </c>
      <c r="O167" s="3" t="s">
        <v>103</v>
      </c>
      <c r="P167" s="3" t="s">
        <v>133</v>
      </c>
      <c r="Q167" s="10">
        <v>14.088000000000008</v>
      </c>
      <c r="R167" s="43">
        <f>VLOOKUP('90'!O167,Malzemeler!C:D,2,0)</f>
        <v>1.1299999999999999</v>
      </c>
      <c r="S167" s="43">
        <f t="shared" si="10"/>
        <v>15.919440000000007</v>
      </c>
    </row>
    <row r="168" spans="1:19" x14ac:dyDescent="0.35">
      <c r="A168" s="104"/>
      <c r="B168" s="1">
        <v>90</v>
      </c>
      <c r="C168" s="1" t="s">
        <v>698</v>
      </c>
      <c r="D168" s="1" t="s">
        <v>698</v>
      </c>
      <c r="E168" s="1" t="s">
        <v>698</v>
      </c>
      <c r="F168" s="1" t="s">
        <v>602</v>
      </c>
      <c r="G168" s="1" t="s">
        <v>698</v>
      </c>
      <c r="H168" s="1" t="s">
        <v>698</v>
      </c>
      <c r="I168" s="1" t="s">
        <v>698</v>
      </c>
      <c r="J168" s="1">
        <f t="shared" si="9"/>
        <v>1</v>
      </c>
      <c r="L168" s="1" t="s">
        <v>478</v>
      </c>
      <c r="M168" s="18">
        <v>9</v>
      </c>
      <c r="N168" s="1" t="s">
        <v>104</v>
      </c>
      <c r="O168" s="3" t="s">
        <v>105</v>
      </c>
      <c r="P168" s="3" t="s">
        <v>133</v>
      </c>
      <c r="Q168" s="10">
        <v>128.97686539999972</v>
      </c>
      <c r="R168" s="43">
        <f>VLOOKUP('90'!O168,Malzemeler!C:D,2,0)</f>
        <v>0.98</v>
      </c>
      <c r="S168" s="43">
        <f t="shared" si="10"/>
        <v>126.39732809199973</v>
      </c>
    </row>
    <row r="169" spans="1:19" x14ac:dyDescent="0.35">
      <c r="A169" s="104"/>
      <c r="B169" s="1">
        <v>90</v>
      </c>
      <c r="C169" s="1" t="s">
        <v>698</v>
      </c>
      <c r="D169" s="1" t="s">
        <v>698</v>
      </c>
      <c r="E169" s="1" t="s">
        <v>698</v>
      </c>
      <c r="F169" s="1" t="s">
        <v>602</v>
      </c>
      <c r="G169" s="1" t="s">
        <v>698</v>
      </c>
      <c r="H169" s="1" t="s">
        <v>698</v>
      </c>
      <c r="I169" s="1" t="s">
        <v>698</v>
      </c>
      <c r="J169" s="1">
        <f t="shared" si="9"/>
        <v>1</v>
      </c>
      <c r="L169" s="1" t="s">
        <v>478</v>
      </c>
      <c r="M169" s="18">
        <v>10</v>
      </c>
      <c r="N169" s="1" t="s">
        <v>106</v>
      </c>
      <c r="O169" s="3" t="s">
        <v>107</v>
      </c>
      <c r="P169" s="3" t="s">
        <v>14</v>
      </c>
      <c r="Q169" s="3">
        <v>4</v>
      </c>
      <c r="R169" s="43">
        <f>VLOOKUP('90'!O169,Malzemeler!C:D,2,0)</f>
        <v>0</v>
      </c>
      <c r="S169" s="43">
        <f t="shared" si="10"/>
        <v>0</v>
      </c>
    </row>
    <row r="170" spans="1:19" x14ac:dyDescent="0.35">
      <c r="A170" s="104"/>
      <c r="B170" s="1">
        <v>90</v>
      </c>
      <c r="C170" s="1" t="s">
        <v>698</v>
      </c>
      <c r="D170" s="1" t="s">
        <v>698</v>
      </c>
      <c r="E170" s="1" t="s">
        <v>698</v>
      </c>
      <c r="F170" s="1" t="s">
        <v>602</v>
      </c>
      <c r="G170" s="1" t="s">
        <v>698</v>
      </c>
      <c r="H170" s="1" t="s">
        <v>698</v>
      </c>
      <c r="I170" s="1" t="s">
        <v>698</v>
      </c>
      <c r="J170" s="1">
        <f t="shared" si="9"/>
        <v>1</v>
      </c>
      <c r="L170" s="1" t="s">
        <v>478</v>
      </c>
      <c r="M170" s="18">
        <v>11</v>
      </c>
      <c r="N170" s="1" t="s">
        <v>108</v>
      </c>
      <c r="O170" s="3" t="s">
        <v>109</v>
      </c>
      <c r="P170" s="3" t="s">
        <v>14</v>
      </c>
      <c r="Q170" s="3">
        <v>4</v>
      </c>
      <c r="R170" s="43">
        <f>VLOOKUP('90'!O170,Malzemeler!C:D,2,0)</f>
        <v>0</v>
      </c>
      <c r="S170" s="43">
        <f t="shared" si="10"/>
        <v>0</v>
      </c>
    </row>
    <row r="171" spans="1:19" x14ac:dyDescent="0.35">
      <c r="A171" s="104"/>
      <c r="B171" s="1">
        <v>90</v>
      </c>
      <c r="C171" s="1" t="s">
        <v>698</v>
      </c>
      <c r="D171" s="1" t="s">
        <v>698</v>
      </c>
      <c r="E171" s="1" t="s">
        <v>698</v>
      </c>
      <c r="F171" s="1" t="s">
        <v>602</v>
      </c>
      <c r="G171" s="1" t="s">
        <v>698</v>
      </c>
      <c r="H171" s="1" t="s">
        <v>698</v>
      </c>
      <c r="I171" s="1" t="s">
        <v>698</v>
      </c>
      <c r="J171" s="1">
        <f t="shared" si="9"/>
        <v>1</v>
      </c>
      <c r="L171" s="1" t="s">
        <v>478</v>
      </c>
      <c r="M171" s="18">
        <v>12</v>
      </c>
      <c r="N171" s="1" t="s">
        <v>110</v>
      </c>
      <c r="O171" s="3" t="s">
        <v>111</v>
      </c>
      <c r="P171" s="3" t="s">
        <v>135</v>
      </c>
      <c r="Q171" s="10">
        <v>18.994</v>
      </c>
      <c r="R171" s="43">
        <f>VLOOKUP('90'!O171,Malzemeler!C:D,2,0)</f>
        <v>1.1200000000000001</v>
      </c>
      <c r="S171" s="43">
        <f t="shared" si="10"/>
        <v>21.273280000000003</v>
      </c>
    </row>
    <row r="172" spans="1:19" x14ac:dyDescent="0.35">
      <c r="A172" s="104"/>
      <c r="B172" s="1">
        <v>90</v>
      </c>
      <c r="C172" s="1" t="s">
        <v>698</v>
      </c>
      <c r="D172" s="1" t="s">
        <v>698</v>
      </c>
      <c r="E172" s="1" t="s">
        <v>698</v>
      </c>
      <c r="F172" s="1" t="s">
        <v>602</v>
      </c>
      <c r="G172" s="1" t="s">
        <v>698</v>
      </c>
      <c r="H172" s="1" t="s">
        <v>698</v>
      </c>
      <c r="I172" s="1" t="s">
        <v>698</v>
      </c>
      <c r="J172" s="1">
        <f t="shared" si="9"/>
        <v>1</v>
      </c>
      <c r="L172" s="1" t="s">
        <v>478</v>
      </c>
      <c r="M172" s="18">
        <v>13</v>
      </c>
      <c r="N172" s="1" t="s">
        <v>112</v>
      </c>
      <c r="O172" s="3" t="s">
        <v>113</v>
      </c>
      <c r="P172" s="3" t="s">
        <v>14</v>
      </c>
      <c r="Q172" s="3">
        <v>20</v>
      </c>
      <c r="R172" s="43">
        <f>VLOOKUP('90'!O172,Malzemeler!C:D,2,0)</f>
        <v>1.1200000000000001</v>
      </c>
      <c r="S172" s="43">
        <f t="shared" si="10"/>
        <v>22.400000000000002</v>
      </c>
    </row>
    <row r="173" spans="1:19" x14ac:dyDescent="0.35">
      <c r="A173" s="104"/>
      <c r="B173" s="1">
        <v>90</v>
      </c>
      <c r="C173" s="1" t="s">
        <v>698</v>
      </c>
      <c r="D173" s="1" t="s">
        <v>698</v>
      </c>
      <c r="E173" s="1" t="s">
        <v>698</v>
      </c>
      <c r="F173" s="1" t="s">
        <v>602</v>
      </c>
      <c r="G173" s="1" t="s">
        <v>698</v>
      </c>
      <c r="H173" s="1" t="s">
        <v>698</v>
      </c>
      <c r="I173" s="1" t="s">
        <v>698</v>
      </c>
      <c r="J173" s="1">
        <f t="shared" si="9"/>
        <v>1</v>
      </c>
      <c r="L173" s="1" t="s">
        <v>478</v>
      </c>
      <c r="M173" s="18">
        <v>14</v>
      </c>
      <c r="N173" s="1" t="s">
        <v>268</v>
      </c>
      <c r="O173" s="3" t="s">
        <v>269</v>
      </c>
      <c r="P173" s="3" t="s">
        <v>14</v>
      </c>
      <c r="Q173" s="3">
        <v>2</v>
      </c>
      <c r="R173" s="43">
        <f>VLOOKUP('90'!O173,Malzemeler!C:D,2,0)</f>
        <v>3.2450000000000001</v>
      </c>
      <c r="S173" s="43">
        <f t="shared" si="10"/>
        <v>6.49</v>
      </c>
    </row>
    <row r="174" spans="1:19" x14ac:dyDescent="0.35">
      <c r="A174" s="104"/>
      <c r="B174" s="1">
        <v>90</v>
      </c>
      <c r="C174" s="1" t="s">
        <v>698</v>
      </c>
      <c r="D174" s="1" t="s">
        <v>698</v>
      </c>
      <c r="E174" s="1" t="s">
        <v>698</v>
      </c>
      <c r="F174" s="1" t="s">
        <v>602</v>
      </c>
      <c r="G174" s="1" t="s">
        <v>698</v>
      </c>
      <c r="H174" s="1" t="s">
        <v>698</v>
      </c>
      <c r="I174" s="1" t="s">
        <v>698</v>
      </c>
      <c r="J174" s="1">
        <f t="shared" si="9"/>
        <v>1</v>
      </c>
      <c r="L174" s="1" t="s">
        <v>478</v>
      </c>
      <c r="M174" s="18">
        <v>15</v>
      </c>
      <c r="N174" s="1" t="s">
        <v>476</v>
      </c>
      <c r="O174" s="3" t="s">
        <v>477</v>
      </c>
      <c r="P174" s="3" t="s">
        <v>14</v>
      </c>
      <c r="Q174" s="3">
        <v>2</v>
      </c>
      <c r="R174" s="43">
        <f>VLOOKUP('90'!O174,Malzemeler!C:D,2,0)</f>
        <v>2.2709999999999999</v>
      </c>
      <c r="S174" s="43">
        <f t="shared" si="10"/>
        <v>4.5419999999999998</v>
      </c>
    </row>
    <row r="175" spans="1:19" x14ac:dyDescent="0.35">
      <c r="A175" s="104"/>
      <c r="B175" s="1">
        <v>90</v>
      </c>
      <c r="C175" s="1" t="s">
        <v>698</v>
      </c>
      <c r="D175" s="1" t="s">
        <v>698</v>
      </c>
      <c r="E175" s="1" t="s">
        <v>698</v>
      </c>
      <c r="F175" s="1" t="s">
        <v>602</v>
      </c>
      <c r="G175" s="1" t="s">
        <v>698</v>
      </c>
      <c r="H175" s="1" t="s">
        <v>698</v>
      </c>
      <c r="I175" s="1" t="s">
        <v>698</v>
      </c>
      <c r="J175" s="1">
        <f t="shared" si="9"/>
        <v>1</v>
      </c>
      <c r="L175" s="1" t="s">
        <v>478</v>
      </c>
      <c r="M175" s="18">
        <v>16</v>
      </c>
      <c r="N175" s="1" t="s">
        <v>114</v>
      </c>
      <c r="O175" s="3" t="s">
        <v>115</v>
      </c>
      <c r="P175" s="3" t="s">
        <v>135</v>
      </c>
      <c r="Q175" s="10">
        <v>2.8580000000000005</v>
      </c>
      <c r="R175" s="43">
        <f>VLOOKUP('90'!O175,Malzemeler!C:D,2,0)</f>
        <v>2.21</v>
      </c>
      <c r="S175" s="43">
        <f t="shared" si="10"/>
        <v>6.316180000000001</v>
      </c>
    </row>
    <row r="176" spans="1:19" x14ac:dyDescent="0.35">
      <c r="A176" s="104" t="s">
        <v>720</v>
      </c>
      <c r="B176" s="1">
        <v>90</v>
      </c>
      <c r="C176" s="1" t="s">
        <v>572</v>
      </c>
      <c r="D176" s="1" t="s">
        <v>698</v>
      </c>
      <c r="E176" s="1" t="s">
        <v>698</v>
      </c>
      <c r="F176" s="1" t="s">
        <v>698</v>
      </c>
      <c r="G176" s="1" t="s">
        <v>698</v>
      </c>
      <c r="H176" s="1">
        <v>1</v>
      </c>
      <c r="I176" s="1" t="s">
        <v>698</v>
      </c>
      <c r="J176" s="1">
        <f t="shared" ref="J176:J181" si="15">SUBTOTAL(103,B176)</f>
        <v>1</v>
      </c>
      <c r="L176" s="1" t="s">
        <v>726</v>
      </c>
      <c r="M176" s="18">
        <v>1</v>
      </c>
      <c r="N176" s="1" t="s">
        <v>565</v>
      </c>
      <c r="O176" s="3" t="s">
        <v>192</v>
      </c>
      <c r="P176" s="3" t="s">
        <v>14</v>
      </c>
      <c r="Q176" s="3">
        <v>1</v>
      </c>
      <c r="R176" s="43">
        <f>VLOOKUP('90'!O176,Malzemeler!C:D,2,0)</f>
        <v>410</v>
      </c>
      <c r="S176" s="43">
        <f t="shared" si="10"/>
        <v>410</v>
      </c>
    </row>
    <row r="177" spans="1:19" x14ac:dyDescent="0.35">
      <c r="A177" s="104"/>
      <c r="B177" s="1">
        <v>90</v>
      </c>
      <c r="C177" s="28" t="s">
        <v>573</v>
      </c>
      <c r="D177" s="28" t="s">
        <v>698</v>
      </c>
      <c r="E177" s="28" t="s">
        <v>698</v>
      </c>
      <c r="F177" s="28" t="s">
        <v>698</v>
      </c>
      <c r="G177" s="28" t="s">
        <v>698</v>
      </c>
      <c r="H177" s="28">
        <v>1</v>
      </c>
      <c r="I177" s="28" t="s">
        <v>698</v>
      </c>
      <c r="J177" s="28">
        <f>SUBTOTAL(103,B177)</f>
        <v>1</v>
      </c>
      <c r="L177" s="1" t="s">
        <v>727</v>
      </c>
      <c r="M177" s="27">
        <v>1</v>
      </c>
      <c r="N177" s="28" t="s">
        <v>565</v>
      </c>
      <c r="O177" s="29" t="s">
        <v>702</v>
      </c>
      <c r="P177" s="29" t="s">
        <v>14</v>
      </c>
      <c r="Q177" s="29">
        <v>1</v>
      </c>
      <c r="R177" s="43" t="e">
        <f>VLOOKUP('90'!O177,Malzemeler!C:D,2,0)</f>
        <v>#N/A</v>
      </c>
      <c r="S177" s="43" t="e">
        <f>+R177*Q177</f>
        <v>#N/A</v>
      </c>
    </row>
    <row r="178" spans="1:19" x14ac:dyDescent="0.35">
      <c r="A178" s="104"/>
      <c r="B178" s="1">
        <v>90</v>
      </c>
      <c r="C178" s="1" t="s">
        <v>698</v>
      </c>
      <c r="D178" s="1" t="s">
        <v>698</v>
      </c>
      <c r="E178" s="1" t="s">
        <v>698</v>
      </c>
      <c r="F178" s="1" t="s">
        <v>698</v>
      </c>
      <c r="G178" s="1" t="s">
        <v>698</v>
      </c>
      <c r="H178" s="1">
        <v>1</v>
      </c>
      <c r="I178" s="1" t="s">
        <v>698</v>
      </c>
      <c r="J178" s="1">
        <f t="shared" si="15"/>
        <v>1</v>
      </c>
      <c r="L178" s="1" t="s">
        <v>720</v>
      </c>
      <c r="M178" s="18">
        <v>2</v>
      </c>
      <c r="N178" s="1" t="s">
        <v>418</v>
      </c>
      <c r="O178" s="3" t="s">
        <v>419</v>
      </c>
      <c r="P178" s="3" t="s">
        <v>14</v>
      </c>
      <c r="Q178" s="3">
        <v>1</v>
      </c>
      <c r="R178" s="43">
        <f>VLOOKUP('90'!O178,Malzemeler!C:D,2,0)</f>
        <v>75.900000000000006</v>
      </c>
      <c r="S178" s="43">
        <f t="shared" si="10"/>
        <v>75.900000000000006</v>
      </c>
    </row>
    <row r="179" spans="1:19" x14ac:dyDescent="0.35">
      <c r="A179" s="104"/>
      <c r="B179" s="1">
        <v>90</v>
      </c>
      <c r="C179" s="1" t="s">
        <v>698</v>
      </c>
      <c r="D179" s="1" t="s">
        <v>698</v>
      </c>
      <c r="E179" s="1" t="s">
        <v>698</v>
      </c>
      <c r="F179" s="1" t="s">
        <v>698</v>
      </c>
      <c r="G179" s="1" t="s">
        <v>698</v>
      </c>
      <c r="H179" s="1">
        <v>1</v>
      </c>
      <c r="I179" s="1" t="s">
        <v>698</v>
      </c>
      <c r="J179" s="1">
        <f t="shared" si="15"/>
        <v>1</v>
      </c>
      <c r="L179" s="1" t="s">
        <v>720</v>
      </c>
      <c r="M179" s="18">
        <v>3</v>
      </c>
      <c r="N179" s="1" t="s">
        <v>54</v>
      </c>
      <c r="O179" s="3" t="s">
        <v>57</v>
      </c>
      <c r="P179" s="3" t="s">
        <v>14</v>
      </c>
      <c r="Q179" s="3">
        <v>1</v>
      </c>
      <c r="R179" s="43">
        <f>VLOOKUP('90'!O179,Malzemeler!C:D,2,0)</f>
        <v>77.55</v>
      </c>
      <c r="S179" s="43">
        <f t="shared" si="10"/>
        <v>77.55</v>
      </c>
    </row>
    <row r="180" spans="1:19" x14ac:dyDescent="0.35">
      <c r="A180" s="104"/>
      <c r="B180" s="1">
        <v>90</v>
      </c>
      <c r="C180" s="1" t="s">
        <v>698</v>
      </c>
      <c r="D180" s="1" t="s">
        <v>698</v>
      </c>
      <c r="E180" s="1" t="s">
        <v>698</v>
      </c>
      <c r="F180" s="1" t="s">
        <v>698</v>
      </c>
      <c r="G180" s="1" t="s">
        <v>698</v>
      </c>
      <c r="H180" s="1">
        <v>1</v>
      </c>
      <c r="I180" s="1" t="s">
        <v>698</v>
      </c>
      <c r="J180" s="1">
        <f t="shared" si="15"/>
        <v>1</v>
      </c>
      <c r="L180" s="1" t="s">
        <v>720</v>
      </c>
      <c r="M180" s="18">
        <v>4</v>
      </c>
      <c r="N180" s="5" t="s">
        <v>593</v>
      </c>
      <c r="O180" s="3" t="s">
        <v>592</v>
      </c>
      <c r="P180" s="3" t="s">
        <v>14</v>
      </c>
      <c r="Q180" s="3">
        <v>1</v>
      </c>
      <c r="R180" s="43">
        <f>VLOOKUP('90'!O180,Malzemeler!C:D,2,0)</f>
        <v>0</v>
      </c>
      <c r="S180" s="43">
        <f t="shared" si="10"/>
        <v>0</v>
      </c>
    </row>
    <row r="181" spans="1:19" s="6" customFormat="1" ht="34.799999999999997" x14ac:dyDescent="0.3">
      <c r="A181" s="34" t="s">
        <v>721</v>
      </c>
      <c r="B181" s="6">
        <v>90</v>
      </c>
      <c r="C181" s="6" t="s">
        <v>698</v>
      </c>
      <c r="D181" s="6" t="s">
        <v>698</v>
      </c>
      <c r="E181" s="6" t="s">
        <v>698</v>
      </c>
      <c r="F181" s="6" t="s">
        <v>698</v>
      </c>
      <c r="G181" s="6" t="s">
        <v>698</v>
      </c>
      <c r="H181" s="6" t="s">
        <v>698</v>
      </c>
      <c r="I181" s="6">
        <v>1</v>
      </c>
      <c r="J181" s="6">
        <f t="shared" si="15"/>
        <v>1</v>
      </c>
      <c r="L181" s="6" t="s">
        <v>721</v>
      </c>
      <c r="M181" s="18">
        <v>1</v>
      </c>
      <c r="N181" s="5" t="s">
        <v>668</v>
      </c>
      <c r="O181" s="3" t="s">
        <v>669</v>
      </c>
      <c r="P181" s="3" t="s">
        <v>14</v>
      </c>
      <c r="Q181" s="3">
        <v>1</v>
      </c>
      <c r="R181" s="62">
        <f>VLOOKUP('90'!O181,Malzemeler!C:D,2,0)</f>
        <v>0</v>
      </c>
      <c r="S181" s="62">
        <f t="shared" ref="S181" si="16">+R181*Q181</f>
        <v>0</v>
      </c>
    </row>
  </sheetData>
  <mergeCells count="5">
    <mergeCell ref="A176:A180"/>
    <mergeCell ref="A3:A102"/>
    <mergeCell ref="A103:A133"/>
    <mergeCell ref="A159:A175"/>
    <mergeCell ref="A138:A158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FBE4F-5106-48AF-9557-DE206D83F905}">
  <dimension ref="A2:E65"/>
  <sheetViews>
    <sheetView workbookViewId="0">
      <selection activeCell="B22" sqref="B22"/>
    </sheetView>
  </sheetViews>
  <sheetFormatPr defaultRowHeight="15" x14ac:dyDescent="0.35"/>
  <cols>
    <col min="1" max="1" width="8.88671875" style="1"/>
    <col min="2" max="2" width="83.21875" style="1" bestFit="1" customWidth="1"/>
    <col min="3" max="3" width="18.44140625" style="1" bestFit="1" customWidth="1"/>
    <col min="4" max="5" width="8.88671875" style="1"/>
  </cols>
  <sheetData>
    <row r="2" spans="2:3" x14ac:dyDescent="0.35">
      <c r="B2" s="5" t="s">
        <v>68</v>
      </c>
      <c r="C2" s="5" t="s">
        <v>80</v>
      </c>
    </row>
    <row r="3" spans="2:3" x14ac:dyDescent="0.35">
      <c r="B3" s="5" t="s">
        <v>607</v>
      </c>
      <c r="C3" s="5" t="s">
        <v>608</v>
      </c>
    </row>
    <row r="4" spans="2:3" x14ac:dyDescent="0.35">
      <c r="B4" s="5" t="s">
        <v>106</v>
      </c>
      <c r="C4" s="5" t="s">
        <v>107</v>
      </c>
    </row>
    <row r="5" spans="2:3" x14ac:dyDescent="0.35">
      <c r="B5" s="5" t="s">
        <v>108</v>
      </c>
      <c r="C5" s="5" t="s">
        <v>109</v>
      </c>
    </row>
    <row r="6" spans="2:3" x14ac:dyDescent="0.35">
      <c r="B6" s="5" t="s">
        <v>681</v>
      </c>
      <c r="C6" s="5" t="s">
        <v>690</v>
      </c>
    </row>
    <row r="7" spans="2:3" x14ac:dyDescent="0.35">
      <c r="B7" s="5" t="s">
        <v>680</v>
      </c>
      <c r="C7" s="5" t="s">
        <v>689</v>
      </c>
    </row>
    <row r="8" spans="2:3" x14ac:dyDescent="0.35">
      <c r="B8" s="5" t="s">
        <v>682</v>
      </c>
      <c r="C8" s="5" t="s">
        <v>691</v>
      </c>
    </row>
    <row r="9" spans="2:3" x14ac:dyDescent="0.35">
      <c r="B9" s="5" t="s">
        <v>683</v>
      </c>
      <c r="C9" s="5" t="s">
        <v>692</v>
      </c>
    </row>
    <row r="10" spans="2:3" x14ac:dyDescent="0.35">
      <c r="B10" s="5" t="s">
        <v>684</v>
      </c>
      <c r="C10" s="5" t="s">
        <v>693</v>
      </c>
    </row>
    <row r="11" spans="2:3" x14ac:dyDescent="0.35">
      <c r="B11" s="5" t="s">
        <v>685</v>
      </c>
      <c r="C11" s="5" t="s">
        <v>694</v>
      </c>
    </row>
    <row r="12" spans="2:3" x14ac:dyDescent="0.35">
      <c r="B12" s="5" t="s">
        <v>686</v>
      </c>
      <c r="C12" s="5" t="s">
        <v>695</v>
      </c>
    </row>
    <row r="13" spans="2:3" x14ac:dyDescent="0.35">
      <c r="B13" s="5" t="s">
        <v>687</v>
      </c>
      <c r="C13" s="5" t="s">
        <v>696</v>
      </c>
    </row>
    <row r="14" spans="2:3" x14ac:dyDescent="0.35">
      <c r="B14" s="5" t="s">
        <v>688</v>
      </c>
      <c r="C14" s="5" t="s">
        <v>697</v>
      </c>
    </row>
    <row r="15" spans="2:3" x14ac:dyDescent="0.35">
      <c r="B15" s="5" t="s">
        <v>624</v>
      </c>
      <c r="C15" s="5" t="s">
        <v>625</v>
      </c>
    </row>
    <row r="16" spans="2:3" x14ac:dyDescent="0.35">
      <c r="B16" s="5" t="s">
        <v>626</v>
      </c>
      <c r="C16" s="5" t="s">
        <v>627</v>
      </c>
    </row>
    <row r="17" spans="2:3" x14ac:dyDescent="0.35">
      <c r="B17" s="5" t="s">
        <v>628</v>
      </c>
      <c r="C17" s="5" t="s">
        <v>629</v>
      </c>
    </row>
    <row r="18" spans="2:3" x14ac:dyDescent="0.35">
      <c r="B18" s="5" t="s">
        <v>668</v>
      </c>
      <c r="C18" s="5" t="s">
        <v>669</v>
      </c>
    </row>
    <row r="19" spans="2:3" x14ac:dyDescent="0.35">
      <c r="B19" s="5" t="s">
        <v>678</v>
      </c>
      <c r="C19" s="5" t="s">
        <v>679</v>
      </c>
    </row>
    <row r="20" spans="2:3" x14ac:dyDescent="0.35">
      <c r="B20" s="5" t="s">
        <v>593</v>
      </c>
      <c r="C20" s="5" t="s">
        <v>592</v>
      </c>
    </row>
    <row r="21" spans="2:3" x14ac:dyDescent="0.35">
      <c r="B21" s="5" t="s">
        <v>594</v>
      </c>
      <c r="C21" s="5" t="s">
        <v>595</v>
      </c>
    </row>
    <row r="22" spans="2:3" x14ac:dyDescent="0.35">
      <c r="B22" s="5" t="s">
        <v>598</v>
      </c>
      <c r="C22" s="5" t="s">
        <v>597</v>
      </c>
    </row>
    <row r="23" spans="2:3" x14ac:dyDescent="0.35">
      <c r="B23" s="32" t="s">
        <v>603</v>
      </c>
      <c r="C23" s="5" t="s">
        <v>605</v>
      </c>
    </row>
    <row r="24" spans="2:3" x14ac:dyDescent="0.35">
      <c r="B24" s="5" t="s">
        <v>614</v>
      </c>
      <c r="C24" s="5" t="s">
        <v>619</v>
      </c>
    </row>
    <row r="25" spans="2:3" x14ac:dyDescent="0.35">
      <c r="B25" s="5" t="s">
        <v>617</v>
      </c>
      <c r="C25" s="5" t="s">
        <v>622</v>
      </c>
    </row>
    <row r="26" spans="2:3" x14ac:dyDescent="0.35">
      <c r="B26" s="5" t="s">
        <v>615</v>
      </c>
      <c r="C26" s="5" t="s">
        <v>620</v>
      </c>
    </row>
    <row r="27" spans="2:3" x14ac:dyDescent="0.35">
      <c r="B27" s="5" t="s">
        <v>616</v>
      </c>
      <c r="C27" s="5" t="s">
        <v>621</v>
      </c>
    </row>
    <row r="28" spans="2:3" x14ac:dyDescent="0.35">
      <c r="B28" s="5" t="s">
        <v>618</v>
      </c>
      <c r="C28" s="5" t="s">
        <v>623</v>
      </c>
    </row>
    <row r="29" spans="2:3" x14ac:dyDescent="0.35">
      <c r="B29" s="5" t="s">
        <v>704</v>
      </c>
      <c r="C29" s="5" t="s">
        <v>705</v>
      </c>
    </row>
    <row r="30" spans="2:3" x14ac:dyDescent="0.35">
      <c r="B30" s="5" t="s">
        <v>706</v>
      </c>
      <c r="C30" s="5" t="s">
        <v>707</v>
      </c>
    </row>
    <row r="31" spans="2:3" x14ac:dyDescent="0.35">
      <c r="B31" s="5" t="s">
        <v>708</v>
      </c>
      <c r="C31" s="5" t="s">
        <v>709</v>
      </c>
    </row>
    <row r="32" spans="2:3" x14ac:dyDescent="0.35">
      <c r="B32" s="5" t="s">
        <v>710</v>
      </c>
      <c r="C32" s="5" t="s">
        <v>711</v>
      </c>
    </row>
    <row r="33" spans="2:3" x14ac:dyDescent="0.35">
      <c r="B33" s="5" t="s">
        <v>712</v>
      </c>
      <c r="C33" s="5" t="s">
        <v>714</v>
      </c>
    </row>
    <row r="34" spans="2:3" x14ac:dyDescent="0.35">
      <c r="B34" s="5" t="s">
        <v>713</v>
      </c>
      <c r="C34" s="5" t="s">
        <v>715</v>
      </c>
    </row>
    <row r="35" spans="2:3" x14ac:dyDescent="0.35">
      <c r="B35" s="5" t="s">
        <v>712</v>
      </c>
      <c r="C35" s="5" t="s">
        <v>714</v>
      </c>
    </row>
    <row r="36" spans="2:3" x14ac:dyDescent="0.35">
      <c r="B36" s="32" t="s">
        <v>717</v>
      </c>
      <c r="C36" s="5" t="s">
        <v>718</v>
      </c>
    </row>
    <row r="37" spans="2:3" x14ac:dyDescent="0.35">
      <c r="B37" s="5" t="s">
        <v>590</v>
      </c>
      <c r="C37" s="5" t="s">
        <v>591</v>
      </c>
    </row>
    <row r="38" spans="2:3" x14ac:dyDescent="0.35">
      <c r="B38" s="32" t="s">
        <v>604</v>
      </c>
      <c r="C38" s="5" t="s">
        <v>606</v>
      </c>
    </row>
    <row r="39" spans="2:3" x14ac:dyDescent="0.35">
      <c r="B39" s="32" t="s">
        <v>604</v>
      </c>
      <c r="C39" s="5" t="s">
        <v>606</v>
      </c>
    </row>
    <row r="40" spans="2:3" x14ac:dyDescent="0.35">
      <c r="B40" s="32" t="s">
        <v>174</v>
      </c>
      <c r="C40" s="5" t="s">
        <v>539</v>
      </c>
    </row>
    <row r="41" spans="2:3" x14ac:dyDescent="0.35">
      <c r="B41" s="5" t="s">
        <v>196</v>
      </c>
      <c r="C41" s="5" t="s">
        <v>540</v>
      </c>
    </row>
    <row r="42" spans="2:3" x14ac:dyDescent="0.35">
      <c r="B42" s="5" t="s">
        <v>632</v>
      </c>
      <c r="C42" s="5" t="s">
        <v>650</v>
      </c>
    </row>
    <row r="43" spans="2:3" x14ac:dyDescent="0.35">
      <c r="B43" s="5" t="s">
        <v>631</v>
      </c>
      <c r="C43" s="5" t="s">
        <v>630</v>
      </c>
    </row>
    <row r="44" spans="2:3" x14ac:dyDescent="0.35">
      <c r="B44" s="32" t="s">
        <v>730</v>
      </c>
      <c r="C44" s="5" t="s">
        <v>729</v>
      </c>
    </row>
    <row r="45" spans="2:3" x14ac:dyDescent="0.35">
      <c r="B45" s="5" t="s">
        <v>731</v>
      </c>
      <c r="C45" s="5" t="s">
        <v>732</v>
      </c>
    </row>
    <row r="46" spans="2:3" x14ac:dyDescent="0.35">
      <c r="B46" s="5" t="s">
        <v>642</v>
      </c>
      <c r="C46" s="5" t="s">
        <v>660</v>
      </c>
    </row>
    <row r="47" spans="2:3" x14ac:dyDescent="0.35">
      <c r="B47" s="5" t="s">
        <v>639</v>
      </c>
      <c r="C47" s="5" t="s">
        <v>657</v>
      </c>
    </row>
    <row r="48" spans="2:3" x14ac:dyDescent="0.35">
      <c r="B48" s="5" t="s">
        <v>640</v>
      </c>
      <c r="C48" s="5" t="s">
        <v>658</v>
      </c>
    </row>
    <row r="49" spans="2:3" x14ac:dyDescent="0.35">
      <c r="B49" s="5" t="s">
        <v>641</v>
      </c>
      <c r="C49" s="5" t="s">
        <v>659</v>
      </c>
    </row>
    <row r="50" spans="2:3" x14ac:dyDescent="0.35">
      <c r="B50" s="5" t="s">
        <v>643</v>
      </c>
      <c r="C50" s="5" t="s">
        <v>661</v>
      </c>
    </row>
    <row r="51" spans="2:3" x14ac:dyDescent="0.35">
      <c r="B51" s="5" t="s">
        <v>644</v>
      </c>
      <c r="C51" s="5" t="s">
        <v>662</v>
      </c>
    </row>
    <row r="52" spans="2:3" x14ac:dyDescent="0.35">
      <c r="B52" s="5" t="s">
        <v>645</v>
      </c>
      <c r="C52" s="5" t="s">
        <v>663</v>
      </c>
    </row>
    <row r="53" spans="2:3" x14ac:dyDescent="0.35">
      <c r="B53" s="5" t="s">
        <v>646</v>
      </c>
      <c r="C53" s="5" t="s">
        <v>664</v>
      </c>
    </row>
    <row r="54" spans="2:3" x14ac:dyDescent="0.35">
      <c r="B54" s="5" t="s">
        <v>647</v>
      </c>
      <c r="C54" s="5" t="s">
        <v>665</v>
      </c>
    </row>
    <row r="55" spans="2:3" x14ac:dyDescent="0.35">
      <c r="B55" s="5" t="s">
        <v>652</v>
      </c>
      <c r="C55" s="5" t="s">
        <v>666</v>
      </c>
    </row>
    <row r="56" spans="2:3" x14ac:dyDescent="0.35">
      <c r="B56" s="5" t="s">
        <v>653</v>
      </c>
      <c r="C56" s="5" t="s">
        <v>667</v>
      </c>
    </row>
    <row r="57" spans="2:3" x14ac:dyDescent="0.35">
      <c r="B57" s="5" t="s">
        <v>637</v>
      </c>
      <c r="C57" s="5" t="s">
        <v>655</v>
      </c>
    </row>
    <row r="58" spans="2:3" x14ac:dyDescent="0.35">
      <c r="B58" s="5" t="s">
        <v>638</v>
      </c>
      <c r="C58" s="5" t="s">
        <v>656</v>
      </c>
    </row>
    <row r="59" spans="2:3" x14ac:dyDescent="0.35">
      <c r="B59" s="32" t="s">
        <v>374</v>
      </c>
      <c r="C59" s="5" t="s">
        <v>375</v>
      </c>
    </row>
    <row r="60" spans="2:3" x14ac:dyDescent="0.35">
      <c r="B60" s="32" t="s">
        <v>750</v>
      </c>
      <c r="C60" s="32" t="s">
        <v>753</v>
      </c>
    </row>
    <row r="61" spans="2:3" x14ac:dyDescent="0.35">
      <c r="B61" s="32" t="s">
        <v>760</v>
      </c>
      <c r="C61" s="32" t="s">
        <v>761</v>
      </c>
    </row>
    <row r="62" spans="2:3" x14ac:dyDescent="0.35">
      <c r="B62" s="32" t="s">
        <v>751</v>
      </c>
      <c r="C62" s="32" t="s">
        <v>754</v>
      </c>
    </row>
    <row r="63" spans="2:3" x14ac:dyDescent="0.35">
      <c r="B63" s="32" t="s">
        <v>752</v>
      </c>
      <c r="C63" s="32" t="s">
        <v>755</v>
      </c>
    </row>
    <row r="64" spans="2:3" x14ac:dyDescent="0.35">
      <c r="B64" s="5" t="s">
        <v>758</v>
      </c>
      <c r="C64" s="5" t="s">
        <v>759</v>
      </c>
    </row>
    <row r="65" spans="2:3" x14ac:dyDescent="0.35">
      <c r="B65" s="5" t="s">
        <v>756</v>
      </c>
      <c r="C65" s="5" t="s">
        <v>757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0729f8f-c0d6-470c-a8b7-da5548742e13}" enabled="0" method="" siteId="{40729f8f-c0d6-470c-a8b7-da5548742e1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Nomenclature</vt:lpstr>
      <vt:lpstr>MIF</vt:lpstr>
      <vt:lpstr>Malzemeler</vt:lpstr>
      <vt:lpstr>7</vt:lpstr>
      <vt:lpstr>11</vt:lpstr>
      <vt:lpstr>15</vt:lpstr>
      <vt:lpstr>22</vt:lpstr>
      <vt:lpstr>32</vt:lpstr>
      <vt:lpstr>42</vt:lpstr>
      <vt:lpstr>53</vt:lpstr>
      <vt:lpstr>64</vt:lpstr>
      <vt:lpstr>90</vt:lpstr>
      <vt:lpstr>Fiyat veya R kodu olmayan ürün</vt:lpstr>
      <vt:lpstr>Price_Total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Ozan Kılıçarslan</dc:creator>
  <cp:lastModifiedBy>Ali Ozan Kılıçarslan</cp:lastModifiedBy>
  <dcterms:created xsi:type="dcterms:W3CDTF">2015-06-05T18:17:20Z</dcterms:created>
  <dcterms:modified xsi:type="dcterms:W3CDTF">2026-06-05T07:28:36Z</dcterms:modified>
</cp:coreProperties>
</file>